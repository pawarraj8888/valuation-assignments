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Amortization" sheetId="1" state="visible" r:id="rId3"/>
    <sheet name="2 Payoff Analysis" sheetId="2" state="visible" r:id="rId4"/>
    <sheet name="3 Bank View" sheetId="3" state="visible" r:id="rId5"/>
    <sheet name="Executive 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<sst xmlns="http://schemas.openxmlformats.org/spreadsheetml/2006/main" count="252" uniqueCount="205">
  <si>
    <t xml:space="preserve">Questions (a) and (b): Amortization schedules and charts</t>
  </si>
  <si>
    <t xml:space="preserve">Mini-Project 'The Two-Loan Comparison' (textbook pp. 36-37). A borrower needs $5,000 for 2 years with monthly payments. Chase Bank: 10% simple annual rate, no fees. Wells Fargo Bank: 7% simple annual rate with a 2% origination fee that is financed into the loan.</t>
  </si>
  <si>
    <t xml:space="preserve">Colour code: blue = given input, black = formula, green = link from another sheet. Dollar amounts to the cent; annual rates to the basis point (0.00%); monthly rates shown with one more decimal. Check cells are rounded to 8 decimals so that computer floating-point noise shows as $0.00.</t>
  </si>
  <si>
    <t xml:space="preserve">Given inputs</t>
  </si>
  <si>
    <t xml:space="preserve">Chase Bank</t>
  </si>
  <si>
    <t xml:space="preserve">Wells Fargo Bank</t>
  </si>
  <si>
    <t xml:space="preserve">Note</t>
  </si>
  <si>
    <t xml:space="preserve">Cash the borrower receives ($)</t>
  </si>
  <si>
    <t xml:space="preserve">Given: the borrower needs $5,000 from either bank.</t>
  </si>
  <si>
    <t xml:space="preserve">Simple annual interest rate</t>
  </si>
  <si>
    <t xml:space="preserve">Given. 'Simple annual' means the monthly rate is the annual rate divided by 12, with no compounding adjustment.</t>
  </si>
  <si>
    <t xml:space="preserve">Payments per year</t>
  </si>
  <si>
    <t xml:space="preserve">Given: monthly payments, made at the end of each month.</t>
  </si>
  <si>
    <t xml:space="preserve">Term (years)</t>
  </si>
  <si>
    <t xml:space="preserve">Given.</t>
  </si>
  <si>
    <t xml:space="preserve">Origination fee (% of the loan)</t>
  </si>
  <si>
    <t xml:space="preserve">Given. Wells Fargo's fee is financed: it is added to the balance owed instead of being paid in cash.</t>
  </si>
  <si>
    <t xml:space="preserve">Step 1: Convert the loan terms to monthly units</t>
  </si>
  <si>
    <t xml:space="preserve">Formula and meaning</t>
  </si>
  <si>
    <t xml:space="preserve">Monthly interest rate r = annual rate / payments per year</t>
  </si>
  <si>
    <t xml:space="preserve">10% / 12 = 0.8333% per month; 7% / 12 = 0.5833% per month. This is the rate charged on the balance each month.</t>
  </si>
  <si>
    <t xml:space="preserve">Number of monthly payments n = years x payments per year</t>
  </si>
  <si>
    <t xml:space="preserve">2 x 12 = 24 payments.</t>
  </si>
  <si>
    <t xml:space="preserve">Step 2: Amount owed at the start (V0)</t>
  </si>
  <si>
    <t xml:space="preserve">Origination fee ($) = cash received x fee %</t>
  </si>
  <si>
    <t xml:space="preserve">Wells Fargo: 2% x $5,000 = $100.</t>
  </si>
  <si>
    <t xml:space="preserve">Amount owed at the start V0 ($) = cash received + fee</t>
  </si>
  <si>
    <t xml:space="preserve">The balance the payments must repay. Wells Fargo's borrower receives $5,000 but owes $5,100 from day one.</t>
  </si>
  <si>
    <t xml:space="preserve">Step 3: Monthly payment C. Flat annuity (textbook Section 2.5): V0 = (C / r) x (1 - d^n) with d = 1/(1+r), so C = V0 / [(1 - (1+r)^-n) / r]</t>
  </si>
  <si>
    <t xml:space="preserve">n-month discount factor d^n = (1 + r)^-n</t>
  </si>
  <si>
    <t xml:space="preserve">Present value of $1 paid at month 24.</t>
  </si>
  <si>
    <t xml:space="preserve">Annuity factor = (1 - d^n) / r</t>
  </si>
  <si>
    <t xml:space="preserve">Present value of $1 paid at the end of each month for 24 months.</t>
  </si>
  <si>
    <t xml:space="preserve">Monthly payment C ($) = V0 / annuity factor</t>
  </si>
  <si>
    <t xml:space="preserve">The level payment whose present value at the loan's own rate equals V0.</t>
  </si>
  <si>
    <t xml:space="preserve">Check with Excel: =PMT(r, n, -V0) ($)</t>
  </si>
  <si>
    <t xml:space="preserve">PMT(rate, nper, pv). pv is entered as -V0 (the amount received, opposite sign to the payments) so the result is the positive payment. fv and type are omitted: balance 0 after the last payment, payments at the end of each month.</t>
  </si>
  <si>
    <t xml:space="preserve">Difference between the two (should be $0.00)</t>
  </si>
  <si>
    <t xml:space="preserve">Question (a): Amortization tables (one row per monthly payment)</t>
  </si>
  <si>
    <t xml:space="preserve">Each row: interest = beginning balance x r; principal reduction = payment - interest; ending balance = beginning balance - principal reduction. In month 24 the payment is set to the remaining balance plus its interest so the loan closes at exactly $0.00 (it equals C to the cent; the check row confirms this). The 'Borrower cash flow' column (+cash received at month 0, -payment each month) is used for the APR in Step 4.</t>
  </si>
  <si>
    <t xml:space="preserve">Period i (month)</t>
  </si>
  <si>
    <t xml:space="preserve">Beginning balance V(i) ($)</t>
  </si>
  <si>
    <t xml:space="preserve">Interest r x V(i) ($)</t>
  </si>
  <si>
    <t xml:space="preserve">Payment C ($)</t>
  </si>
  <si>
    <t xml:space="preserve">Principal reduction C - r x V(i) ($)</t>
  </si>
  <si>
    <t xml:space="preserve">Ending balance V(i+1) ($)</t>
  </si>
  <si>
    <t xml:space="preserve">Borrower cash flow ($)</t>
  </si>
  <si>
    <t xml:space="preserve">Total</t>
  </si>
  <si>
    <t xml:space="preserve">Check: ending balance after payment 24 (must be exactly $0.00)</t>
  </si>
  <si>
    <t xml:space="preserve">Check: total principal reduction - V0 (should be $0.00)</t>
  </si>
  <si>
    <t xml:space="preserve">Check: month-24 payment - C (should be $0.00)</t>
  </si>
  <si>
    <t xml:space="preserve">Step 4: Total cost and effective APR of each loan</t>
  </si>
  <si>
    <t xml:space="preserve">Total of the 24 payments ($)</t>
  </si>
  <si>
    <t xml:space="preserve">Sum of the payment column.</t>
  </si>
  <si>
    <t xml:space="preserve">Total interest paid ($)</t>
  </si>
  <si>
    <t xml:space="preserve">Sum of the interest column. Wells Fargo's interest is charged on $5,100, so it includes interest on the financed fee.</t>
  </si>
  <si>
    <t xml:space="preserve">Origination fee ($)</t>
  </si>
  <si>
    <t xml:space="preserve">Repaid inside the payments, so it appears in the schedule as principal, not as interest.</t>
  </si>
  <si>
    <t xml:space="preserve">Total cost of borrowing ($) = interest + fee = total payments - cash received</t>
  </si>
  <si>
    <t xml:space="preserve">Everything the borrower pays beyond the $5,000 received. This is the right basis for comparing the two loans.</t>
  </si>
  <si>
    <t xml:space="preserve">Monthly IRR of the borrower's cash flows = RATE(n, -C, cash received)</t>
  </si>
  <si>
    <t xml:space="preserve">RATE(nper, pmt, pv): the monthly rate at which the 24 payments of -C (paid at month end) have the same present value as the +$5,000 received today. Signs: cash in positive, cash out negative. With no fee it equals r.</t>
  </si>
  <si>
    <t xml:space="preserve">Check: IRR of the cash-flow column in the table (should equal the row above)</t>
  </si>
  <si>
    <t xml:space="preserve">IRR(values): same idea applied directly to the cash-flow column, month 0 first.</t>
  </si>
  <si>
    <t xml:space="preserve">Nominal APR, fee-inclusive = 12 x monthly IRR</t>
  </si>
  <si>
    <t xml:space="preserve">Annualised by simple multiplication, the same convention as the quoted rates. Chase: 10.00% (no fee). Wells Fargo: above its quoted 7% because of the fee.</t>
  </si>
  <si>
    <t xml:space="preserve">Effective annual rate, fee-inclusive = (1 + monthly IRR)^12 - 1</t>
  </si>
  <si>
    <t xml:space="preserve">Annualised with monthly compounding: the true one-year cost of the loan.</t>
  </si>
  <si>
    <t xml:space="preserve">For reference: effective annual rate at the quoted rate = (1 + r)^12 - 1</t>
  </si>
  <si>
    <t xml:space="preserve">Compounding effect only, before any fee.</t>
  </si>
  <si>
    <t xml:space="preserve">Question (b): Charts</t>
  </si>
  <si>
    <t xml:space="preserve">Stacked bars: each bar is one monthly payment, split into interest and principal. Line chart: the balance still owed after each payment (month 0 = amount owed at the start).</t>
  </si>
  <si>
    <t xml:space="preserve">Question (c): Payoff analysis</t>
  </si>
  <si>
    <t xml:space="preserve">For each early payoff month m = 1 to 24: (1) the payoff balance, the amount still owed right after the m-th scheduled payment, and (2) the present value at month m of the payments not yet made (months m+1 to 24), discounted at the Chase loan rate. Then compare the two.</t>
  </si>
  <si>
    <t xml:space="preserve">Given inputs (linked from Sheet 1)</t>
  </si>
  <si>
    <t xml:space="preserve">Value</t>
  </si>
  <si>
    <t xml:space="preserve">Chase simple annual rate</t>
  </si>
  <si>
    <t xml:space="preserve">Given: the assignment says to discount the remaining payments at the Chase loan rate, for both loans.</t>
  </si>
  <si>
    <t xml:space="preserve">Monthly discount rate = Chase annual rate / 12</t>
  </si>
  <si>
    <t xml:space="preserve">Number of payments n</t>
  </si>
  <si>
    <t xml:space="preserve">Chase monthly payment C ($)</t>
  </si>
  <si>
    <t xml:space="preserve">Wells Fargo monthly payment C ($)</t>
  </si>
  <si>
    <t xml:space="preserve">Equations</t>
  </si>
  <si>
    <t xml:space="preserve">Payoff balance at month m = V(m), the ending balance after payment m in the Sheet 1 amortization table.</t>
  </si>
  <si>
    <t xml:space="preserve">PV of remaining payments at month m = C x [1 - (1 + r_Chase)^-(n - m)] / r_Chase: a flat annuity of n - m payments, the first due one month after m (textbook Section 2.5). In Excel: PV(r_Chase, n - m, -C); pmt is entered as -C so the present value is positive; fv and type omitted (0, end of period).</t>
  </si>
  <si>
    <t xml:space="preserve">Payoff month m (after the m-th payment)</t>
  </si>
  <si>
    <t xml:space="preserve">Remaining payments n - m</t>
  </si>
  <si>
    <t xml:space="preserve">Payoff balance V(m) ($)</t>
  </si>
  <si>
    <t xml:space="preserve">PV of remaining payments at Chase's rate ($)</t>
  </si>
  <si>
    <t xml:space="preserve">Balance - PV ($)</t>
  </si>
  <si>
    <t xml:space="preserve">Checks</t>
  </si>
  <si>
    <t xml:space="preserve">Chase: largest |balance - PV| over all months (should be $0.00)</t>
  </si>
  <si>
    <t xml:space="preserve">For Chase the two columns agree in every month: a loan balance is the PV of its remaining payments at the loan's own rate (textbook 2.5.4).</t>
  </si>
  <si>
    <t xml:space="preserve">Wells Fargo: balance - PV after the first payment, m = 1 ($)</t>
  </si>
  <si>
    <t xml:space="preserve">Largest gap in the table; it shrinks to $0.00 at month 24.</t>
  </si>
  <si>
    <t xml:space="preserve">Wells Fargo, m = 12, PV by the explicit formula C x [1 - (1+r)^-(n-m)] / r ($)</t>
  </si>
  <si>
    <t xml:space="preserve">Same number as the PV function in the table (next row), so the function is being used correctly.</t>
  </si>
  <si>
    <t xml:space="preserve">Difference from the PV function value in the table (should be $0.00)</t>
  </si>
  <si>
    <t xml:space="preserve">What the relationship between payoff balance and PV of remaining payments tells you</t>
  </si>
  <si>
    <t xml:space="preserve">1. Chase: payoff balance = PV of remaining payments in every month. The balance is, by definition, the present value of the payments still owed, discounted at the loan's own contract rate; the discount rate here is that same 10% rate, so the two agree. Paying Chase off early is a fair trade: the cash handed over equals the value of the debt removed.</t>
  </si>
  <si>
    <t xml:space="preserve">2. Wells Fargo: the payoff balance is above the PV of the remaining payments in every month before the last ($140.19 after month 1, falling to $0.00 at month 24). The payments were set using a 7% rate, but at a 10% discount rate they are worth less. The gap is the value of Wells Fargo's below-market rate.</t>
  </si>
  <si>
    <t xml:space="preserve">3. Decision rule: a borrower whose alternative cost of money is 10% should not prepay the Wells Fargo loan or refinance it with Chase. Paying the balance removes a debt that is worth less than the balance, so the borrower gives the rate advantage back to the bank. Prepaying only pays when the alternative rate is below the contract rate; then the PV exceeds the balance and the gap changes sign.</t>
  </si>
  <si>
    <t xml:space="preserve">4. Price and value: the same contract is worth different amounts to the two sides because each discounts at its own rate. To a borrower whose money costs 10%, the 7% loan is worth less than its balance. To Wells Fargo, whose money costs 2%, the promised payments alone would be worth more than the balance; once expected defaults and prepayments are included (Sheet 3), the 1,000-loan portfolio is worth $5,050,489.52: below the $5,100,000 booked but above the $5,000,000 lent. The borrower's loss from prepaying and the bank's gain are not equal amounts, because the discount rates and the default assumption differ.</t>
  </si>
  <si>
    <t xml:space="preserve">Question (d): The bank's view. Wells Fargo's expected cash flows on 1,000 identical loans</t>
  </si>
  <si>
    <t xml:space="preserve">Wells Fargo funds the loans at 2%/year, borrowers default at 6%/year with no recovery, and borrowers prepay 1% of the balance per month. The sheet projects the expected monthly principal and interest on 1,000 identical Wells Fargo loans, discounts them at the funding cost, and then repeats the valuation for contract rates of 5% to 12% and fees of 0% to 4% in a two-way data table.</t>
  </si>
  <si>
    <t xml:space="preserve">Per month</t>
  </si>
  <si>
    <t xml:space="preserve">Number of loans in the portfolio</t>
  </si>
  <si>
    <t xml:space="preserve">Cash lent per loan ($)</t>
  </si>
  <si>
    <t xml:space="preserve">The borrower's $5,000, linked from Sheet 1.</t>
  </si>
  <si>
    <t xml:space="preserve">Contract rate, simple annual</t>
  </si>
  <si>
    <t xml:space="preserve">Wells Fargo's 7%, typed as a value because Question (d)(ii) varies it in the data table below (Excel needs a plain input cell). Row 17 checks it matches Sheet 1.</t>
  </si>
  <si>
    <t xml:space="preserve">Wells Fargo's 2%, typed for the same reason. Financed: the bank pays out $5,000 but books $5,100 per loan.</t>
  </si>
  <si>
    <t xml:space="preserve">Term (months)</t>
  </si>
  <si>
    <t xml:space="preserve">Funding cost, annual</t>
  </si>
  <si>
    <t xml:space="preserve">Given: 2%/year = 0.167%/month. The bank's cost of money, used as the discount rate for its cash flows.</t>
  </si>
  <si>
    <t xml:space="preserve">Default rate, annual</t>
  </si>
  <si>
    <t xml:space="preserve">Given: 6%/year = 0.50% of the loans outstanding default each month.</t>
  </si>
  <si>
    <t xml:space="preserve">Recovery on a defaulted balance</t>
  </si>
  <si>
    <t xml:space="preserve">Given: recovering nothing.</t>
  </si>
  <si>
    <t xml:space="preserve">Prepayment rate, per month</t>
  </si>
  <si>
    <t xml:space="preserve">Given: 1% of the remaining balance is repaid early each month, in addition to the scheduled principal.</t>
  </si>
  <si>
    <t xml:space="preserve">Check: contract rate and fee equal the Wells Fargo terms on Sheet 1 (both TRUE)</t>
  </si>
  <si>
    <t xml:space="preserve">Step 1: Per-loan terms at the inputs above</t>
  </si>
  <si>
    <t xml:space="preserve">Amount booked per loan V0 ($) = cash lent x (1 + fee)</t>
  </si>
  <si>
    <t xml:space="preserve">$5,000 x 1.02 = $5,100.</t>
  </si>
  <si>
    <t xml:space="preserve">Monthly payment per loan C ($) = r x V0 / [1 - (1 + r)^-n]</t>
  </si>
  <si>
    <t xml:space="preserve">Same annuity formula as Sheet 1, Step 3, using the monthly contract rate in C9.</t>
  </si>
  <si>
    <t xml:space="preserve">Check: C - Wells Fargo payment on Sheet 1 (should be $0.00 while the inputs match)</t>
  </si>
  <si>
    <t xml:space="preserve">Monthly survival factor = (1 - monthly default rate) x (1 - prepayment rate)</t>
  </si>
  <si>
    <t xml:space="preserve">Share of this month's loans that are still on the books next month: 0.995 x 0.99 = 98.505%.</t>
  </si>
  <si>
    <t xml:space="preserve">Assumptions about timing and probabilities (the assignment gives the rates but not the order of events)</t>
  </si>
  <si>
    <t xml:space="preserve">1. Order within each month: (i) 0.50% of the loans outstanding at the start of the month default; they make no payment that month and nothing is recovered. (ii) The remaining loans make the scheduled payment, split into interest and principal exactly as in the per-loan schedule. (iii) 1% of the balance left after the scheduled payment is prepaid.</t>
  </si>
  <si>
    <t xml:space="preserve">2. Rates are applied to the pool as expected values: 0.50% of 1,000 loans is 5 loans defaulting in month 1, so loan counts are fractional averages, not whole loans.</t>
  </si>
  <si>
    <t xml:space="preserve">3. Prepayment treatment used here: each month 1% of the balance remaining after the scheduled payment is repaid early, modelled as 1% of the loans repaying in full. Surviving loans keep their original 24-month schedule, so the pool's scheduled payments scale down with the surviving fraction. The assignment's wording (borrowers 'making extra principal payments') can also be read as every borrower paying the fixed $228.34 plus 1% of the remaining balance each month; then each loan pays off in month 22 and, with the same default timing and discount rate, the NPV is $53,409.38 instead of $50,489.52. The two readings differ only in when the principal arrives; this workbook uses the first.</t>
  </si>
  <si>
    <t xml:space="preserve">4. Cash at time 0: the bank pays out $5,000 per loan. The $100 fee is financed, so no cash is received up front; it is collected through the payments on the $5,100 booked.</t>
  </si>
  <si>
    <t xml:space="preserve">5. Discounting: expected monthly collections are discounted at the funding cost, as the assignment specifies. No separate risk premium is charged; default risk enters only through the expected losses.</t>
  </si>
  <si>
    <t xml:space="preserve">Question (d)(i): Projected monthly principal and interest, aggregated over the 1,000 loans</t>
  </si>
  <si>
    <t xml:space="preserve">Per loan (recursive schedule at the inputs above; month-24 principal set to the remaining balance so it closes at $0.00)</t>
  </si>
  <si>
    <t xml:space="preserve">Portfolio: expected values ($ unless stated)</t>
  </si>
  <si>
    <t xml:space="preserve">Month t</t>
  </si>
  <si>
    <t xml:space="preserve">Beginning balance per loan ($)</t>
  </si>
  <si>
    <t xml:space="preserve">Interest per loan ($) = r x beginning balance</t>
  </si>
  <si>
    <t xml:space="preserve">Scheduled principal per loan ($) = C - interest</t>
  </si>
  <si>
    <t xml:space="preserve">Ending balance per loan ($)</t>
  </si>
  <si>
    <t xml:space="preserve">Loans on the books at the start of the month (expected)</t>
  </si>
  <si>
    <t xml:space="preserve">Pool balance at start ($) = loans x beginning balance</t>
  </si>
  <si>
    <t xml:space="preserve">Balance written off ($) = monthly default rate x pool balance</t>
  </si>
  <si>
    <t xml:space="preserve">Recoveries ($) = recovery rate x written off</t>
  </si>
  <si>
    <t xml:space="preserve">Interest collected ($) = (1 - default rate) x loans x interest per loan</t>
  </si>
  <si>
    <t xml:space="preserve">Scheduled principal collected ($) = (1 - default rate) x loans x scheduled principal</t>
  </si>
  <si>
    <t xml:space="preserve">Prepaid principal ($) = prepayment rate x (1 - default rate) x loans x ending balance per loan</t>
  </si>
  <si>
    <t xml:space="preserve">Total principal collected ($) = scheduled + prepaid</t>
  </si>
  <si>
    <t xml:space="preserve">Total cash collected ($) = recoveries + interest + principal</t>
  </si>
  <si>
    <t xml:space="preserve">Pool balance at end ($) = start - written off - principal collected</t>
  </si>
  <si>
    <t xml:space="preserve">Discount factor = 1 / (1 + monthly funding cost)^t</t>
  </si>
  <si>
    <t xml:space="preserve">PV of cash collected ($) = cash x discount factor</t>
  </si>
  <si>
    <t xml:space="preserve">Totals: sums for the write-off, collection and PV columns; the pool balance column shows the balance after month 24 (should be $0.00). Question (d)(i) asks for the projected monthly principal and interest: columns J (interest) and M (principal), with the split of principal in K and L.</t>
  </si>
  <si>
    <t xml:space="preserve">Total principal collected + total written off - principal booked (should be $0.00)</t>
  </si>
  <si>
    <t xml:space="preserve">Every dollar booked ($5,100,000) is either collected as principal or written off by month 24, and the pool is empty after the last payment.</t>
  </si>
  <si>
    <t xml:space="preserve">Pool balance at the end of month 24 (should be $0.00)</t>
  </si>
  <si>
    <t xml:space="preserve">Result: value of the portfolio to Wells Fargo at the funding cost</t>
  </si>
  <si>
    <t xml:space="preserve">Meaning</t>
  </si>
  <si>
    <t xml:space="preserve">Cash lent today ($) = loans x cash lent per loan</t>
  </si>
  <si>
    <t xml:space="preserve">The bank's outlay at time 0.</t>
  </si>
  <si>
    <t xml:space="preserve">PV of the loan portfolio ($) = sum of the PV column</t>
  </si>
  <si>
    <t xml:space="preserve">Expected collections after defaults and prepayments, discounted at 2%/year (0.167%/month).</t>
  </si>
  <si>
    <t xml:space="preserve">NPV to Wells Fargo ($) = PV of the portfolio - cash lent</t>
  </si>
  <si>
    <t xml:space="preserve">Positive: the expected collections are worth more than the cash it costs to make the loans.</t>
  </si>
  <si>
    <t xml:space="preserve">NPV as % of cash lent</t>
  </si>
  <si>
    <t xml:space="preserve">Expected interest collected, undiscounted ($)</t>
  </si>
  <si>
    <t xml:space="preserve">Expected principal collected, undiscounted ($)</t>
  </si>
  <si>
    <t xml:space="preserve">Includes the $100 fee per loan, which is booked as principal.</t>
  </si>
  <si>
    <t xml:space="preserve">Expected principal written off, undiscounted ($)</t>
  </si>
  <si>
    <t xml:space="preserve">About 5.7% of the $5,100,000 booked is lost to defaults.</t>
  </si>
  <si>
    <t xml:space="preserve">Question (d)(ii): Two-way data table. PV of the loan portfolio by contract rate (rows) and origination fee (columns)</t>
  </si>
  <si>
    <t xml:space="preserve">Excel What-If data table (Data &gt; What-If Analysis &gt; Data Table). The corner cell A80 links to the PV result in B70; the row input cell is the fee (B10) and the column input cell is the contract rate (B9). Excel recalculates the whole model above for every rate/fee pair. The block to the right subtracts the $5,000,000 lent to give the NPV (losses in red). To check any cell by hand, type its rate and fee into B9 and B10 and read B70 or B71. Excel computes the table automatically; LibreOffice shows it blank until you recalculate (Ctrl+Shift+F9). Before submitting, press Ctrl+Alt+F9 in Excel and confirm that D85 equals B70 and that the check in B98 is $0.00.</t>
  </si>
  <si>
    <t xml:space="preserve">Contract rate (down) / fee (across). Corner = PV at the current inputs.</t>
  </si>
  <si>
    <t xml:space="preserve">NPV = PV of the portfolio - cash lent ($5,000,000)</t>
  </si>
  <si>
    <t xml:space="preserve">NPV ($)</t>
  </si>
  <si>
    <t xml:space="preserve">Check and reading</t>
  </si>
  <si>
    <t xml:space="preserve">Data-table cell for the Sheet 1 loan (7.00% rate, 2.00% fee) - PV result in B70 (should be $0.00)</t>
  </si>
  <si>
    <t xml:space="preserve">Reading the table: the portfolio is worth more than the $5,000,000 lent (NPV above zero) only for the rate/fee pairs shown in black in the NPV block. With a 2% fee the bank breaks even at a contract rate between 5.5% and 6.0%; with no fee it needs between 8.0% and 8.5%. Each extra 1% of fee adds about 1% of the booked amount to the PV because the fee is collected as extra principal that also earns the contract rate. At Wells Fargo's actual 7% rate and 2% fee the NPV is about 1% of the cash lent: the borrower's cheaper loan is a thin margin for the bank.</t>
  </si>
  <si>
    <t xml:space="preserve">Question (e): Executive summary. Which loan should the borrower choose?</t>
  </si>
  <si>
    <t xml:space="preserve">Mini-Project 'The Two-Loan Comparison': $5,000 for 2 years, monthly payments. Chase Bank 10% with no fee vs. Wells Fargo Bank 7% with a 2% fee financed into the loan. Figures are linked to Sheets 1 to 3.</t>
  </si>
  <si>
    <t xml:space="preserve">Recommendation</t>
  </si>
  <si>
    <t xml:space="preserve">Take the Wells Fargo loan. Even after the $100 fee is added to the balance, its 7% rate gives a lower monthly payment, a lower total cost over the two years and a lower effective APR than Chase's 10% loan with no fee. The 3-percentage-point rate advantage saves $157.23 of interest, which is more than the $100 fee.</t>
  </si>
  <si>
    <t xml:space="preserve">Key figures (all formulas, linked to Sheet 1)</t>
  </si>
  <si>
    <t xml:space="preserve">Difference (Chase - Wells Fargo)</t>
  </si>
  <si>
    <t xml:space="preserve">Origination fee, financed into the loan ($)</t>
  </si>
  <si>
    <t xml:space="preserve">Amount owed at the start ($)</t>
  </si>
  <si>
    <t xml:space="preserve">Quoted simple annual rate</t>
  </si>
  <si>
    <t xml:space="preserve">Monthly payment ($)</t>
  </si>
  <si>
    <t xml:space="preserve">Total cost of borrowing = interest + fee ($)</t>
  </si>
  <si>
    <t xml:space="preserve">Nominal APR, fee-inclusive (12 x monthly IRR)</t>
  </si>
  <si>
    <t xml:space="preserve">Effective annual rate, fee-inclusive ((1 + monthly IRR)^12 - 1)</t>
  </si>
  <si>
    <t xml:space="preserve">Why Wells Fargo is the better loan</t>
  </si>
  <si>
    <t xml:space="preserve">1. Monthly payment: $228.34 vs. $230.72, so $2.38 less a month. Wells Fargo amortizes a larger balance ($5,100 vs. $5,000) but at a much lower rate, and the rate effect wins.</t>
  </si>
  <si>
    <t xml:space="preserve">2. Total interest and total cost: interest of $380.16 vs. $537.39. Adding the $100 fee, Wells Fargo's total cost is $480.16 vs. $537.39 for Chase, a saving of $57.23 over two years. Total cost (all payments minus cash received) is the fair basis because Wells Fargo's fee is repaid inside the payments.</t>
  </si>
  <si>
    <t xml:space="preserve">3. Effective APR: the fee raises Wells Fargo's true cost from the quoted 7.00% to a nominal APR of 8.96% (9.34% effective annual with monthly compounding), still below Chase's 10.00% nominal APR (10.47% effective annual). APR is the annualised internal rate of return of the borrower's actual cash flows: $5,000 received today, 24 payments out.</t>
  </si>
  <si>
    <t xml:space="preserve">Two further results (linked to Sheets 2 and 3)</t>
  </si>
  <si>
    <t xml:space="preserve">Wells Fargo payoff balance minus PV of remaining payments at Chase's rate, after month 1 ($)</t>
  </si>
  <si>
    <t xml:space="preserve">Wells Fargo's expected NPV on 1,000 loans, funded at 2% with 6%/yr defaults and 1%/mo prepayments ($)</t>
  </si>
  <si>
    <t xml:space="preserve">The same NPV as a % of the $5,000,000 lent</t>
  </si>
  <si>
    <t xml:space="preserve">Early payoff (Sheet 2): the borrower should not prepay or refinance the Wells Fargo loan at Chase's rate. In every month its payoff balance exceeds the value of the remaining payments discounted at 10%, so paying it off early hands the rate advantage back to the bank. For Chase the two are equal, so early payoff is a fair trade.</t>
  </si>
  <si>
    <t xml:space="preserve">The bank's view (Sheet 3): after expected defaults and prepayments, the 1,000-loan portfolio is worth about 1% more than the cash lent. At a 2% fee the bank breaks even near a 6% contract rate and with no fee near 8%, so the loan that is cheaper for the borrower leaves Wells Fargo only a thin margin.</t>
  </si>
</sst>
</file>

<file path=xl/styles.xml><?xml version="1.0" encoding="utf-8"?>
<styleSheet xmlns="http://schemas.openxmlformats.org/spreadsheetml/2006/main">
  <numFmts count="11">
    <numFmt numFmtId="164" formatCode="General"/>
    <numFmt numFmtId="165" formatCode="\$#,##0.00;&quot;($&quot;#,##0.00\)"/>
    <numFmt numFmtId="166" formatCode="0.00%"/>
    <numFmt numFmtId="167" formatCode="0"/>
    <numFmt numFmtId="168" formatCode="0.000%"/>
    <numFmt numFmtId="169" formatCode="0.000000"/>
    <numFmt numFmtId="170" formatCode="#,##0"/>
    <numFmt numFmtId="171" formatCode="General"/>
    <numFmt numFmtId="172" formatCode="0.0000%"/>
    <numFmt numFmtId="173" formatCode="#,##0.00"/>
    <numFmt numFmtId="174" formatCode="\$#,##0.00;[RED]&quot;($&quot;#,##0.00\)"/>
  </numFmts>
  <fonts count="15">
    <font>
      <sz val="11"/>
      <color theme="1"/>
      <name val="Calibri"/>
      <family val="2"/>
      <charset val="1"/>
    </font>
    <font>
      <sz val="10"/>
      <name val="Arial"/>
      <family val="0"/>
    </font>
    <font>
      <sz val="10"/>
      <name val="Arial"/>
      <family val="0"/>
    </font>
    <font>
      <sz val="10"/>
      <name val="Arial"/>
      <family val="0"/>
    </font>
    <font>
      <b val="true"/>
      <sz val="12"/>
      <color rgb="FF000000"/>
      <name val="Arial"/>
      <family val="0"/>
      <charset val="1"/>
    </font>
    <font>
      <sz val="10"/>
      <color rgb="FF595959"/>
      <name val="Arial"/>
      <family val="0"/>
      <charset val="1"/>
    </font>
    <font>
      <b val="true"/>
      <sz val="11"/>
      <color rgb="FF000000"/>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8000"/>
      <name val="Arial"/>
      <family val="0"/>
      <charset val="1"/>
    </font>
    <font>
      <b val="true"/>
      <sz val="10"/>
      <color rgb="FF0000FF"/>
      <name val="Arial"/>
      <family val="0"/>
      <charset val="1"/>
    </font>
  </fonts>
  <fills count="4">
    <fill>
      <patternFill patternType="none"/>
    </fill>
    <fill>
      <patternFill patternType="gray125"/>
    </fill>
    <fill>
      <patternFill patternType="solid">
        <fgColor rgb="FFD9D9D9"/>
        <bgColor rgb="FFF2F2F2"/>
      </patternFill>
    </fill>
    <fill>
      <patternFill patternType="solid">
        <fgColor rgb="FFF2F2F2"/>
        <bgColor rgb="FFFFFFCC"/>
      </patternFill>
    </fill>
  </fills>
  <borders count="3">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A6A6A6"/>
      </left>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8" fontId="8" fillId="0" borderId="1" xfId="0" applyFont="true" applyBorder="true" applyAlignment="true" applyProtection="false">
      <alignment horizontal="right" vertical="center" textRotation="0" wrapText="false" indent="0" shrinkToFit="false"/>
      <protection locked="true" hidden="false"/>
    </xf>
    <xf numFmtId="167" fontId="8" fillId="0" borderId="1" xfId="0" applyFont="true" applyBorder="true" applyAlignment="true" applyProtection="false">
      <alignment horizontal="right"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9" fontId="8" fillId="0" borderId="1" xfId="0" applyFont="true" applyBorder="true" applyAlignment="true" applyProtection="false">
      <alignment horizontal="right" vertical="center" textRotation="0" wrapText="fals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righ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6" fontId="13" fillId="0" borderId="1" xfId="0" applyFont="true" applyBorder="true" applyAlignment="true" applyProtection="false">
      <alignment horizontal="right" vertical="center" textRotation="0" wrapText="false" indent="0" shrinkToFit="false"/>
      <protection locked="true" hidden="false"/>
    </xf>
    <xf numFmtId="168" fontId="13" fillId="0" borderId="1" xfId="0" applyFont="true" applyBorder="true" applyAlignment="true" applyProtection="false">
      <alignment horizontal="right" vertical="center" textRotation="0" wrapText="false" indent="0" shrinkToFit="false"/>
      <protection locked="true" hidden="false"/>
    </xf>
    <xf numFmtId="167" fontId="13" fillId="0" borderId="1" xfId="0" applyFont="true" applyBorder="true" applyAlignment="true" applyProtection="false">
      <alignment horizontal="right" vertical="center" textRotation="0" wrapText="false" indent="0" shrinkToFit="false"/>
      <protection locked="true" hidden="false"/>
    </xf>
    <xf numFmtId="165" fontId="13" fillId="0" borderId="1" xfId="0" applyFont="true" applyBorder="true" applyAlignment="true" applyProtection="false">
      <alignment horizontal="right" vertical="center"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right" vertical="center" textRotation="0" wrapText="false" indent="0" shrinkToFit="false"/>
      <protection locked="true" hidden="false"/>
    </xf>
    <xf numFmtId="171" fontId="8" fillId="0" borderId="1" xfId="0" applyFont="true" applyBorder="true" applyAlignment="true" applyProtection="false">
      <alignment horizontal="right" vertical="center"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true" applyProtection="false">
      <alignment horizontal="right" vertical="center" textRotation="0" wrapText="false" indent="0" shrinkToFit="false"/>
      <protection locked="true" hidden="false"/>
    </xf>
    <xf numFmtId="173" fontId="8" fillId="0" borderId="1" xfId="0" applyFont="true" applyBorder="true" applyAlignment="true" applyProtection="false">
      <alignment horizontal="right"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74" fontId="7" fillId="0" borderId="1"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right" vertical="center" textRotation="0" wrapText="false" indent="0" shrinkToFit="false"/>
      <protection locked="true" hidden="false"/>
    </xf>
    <xf numFmtId="166" fontId="14" fillId="2" borderId="1" xfId="0" applyFont="true" applyBorder="true" applyAlignment="true" applyProtection="false">
      <alignment horizontal="center" vertical="center" textRotation="0" wrapText="true" indent="0" shrinkToFit="false"/>
      <protection locked="true" hidden="false"/>
    </xf>
    <xf numFmtId="166" fontId="7" fillId="2" borderId="1" xfId="0" applyFont="true" applyBorder="true" applyAlignment="true" applyProtection="false">
      <alignment horizontal="center" vertical="center" textRotation="0" wrapText="true" indent="0" shrinkToFit="false"/>
      <protection locked="true" hidden="false"/>
    </xf>
    <xf numFmtId="174" fontId="8" fillId="0"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4B183"/>
      <rgbColor rgb="FF4472C4"/>
      <rgbColor rgb="FF33CCCC"/>
      <rgbColor rgb="FF99CC00"/>
      <rgbColor rgb="FFFFCC00"/>
      <rgbColor rgb="FFFF9900"/>
      <rgbColor rgb="FFED7D31"/>
      <rgbColor rgb="FF59595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Chase Bank: interest vs. principal in each monthly payment ($)</a:t>
            </a:r>
          </a:p>
        </c:rich>
      </c:tx>
      <c:overlay val="0"/>
      <c:spPr>
        <a:noFill/>
        <a:ln w="0">
          <a:noFill/>
        </a:ln>
      </c:spPr>
    </c:title>
    <c:autoTitleDeleted val="0"/>
    <c:plotArea>
      <c:barChart>
        <c:barDir val="col"/>
        <c:grouping val="stacked"/>
        <c:varyColors val="0"/>
        <c:ser>
          <c:idx val="0"/>
          <c:order val="0"/>
          <c:tx>
            <c:strRef>
              <c:f>"Principal reduction"</c:f>
              <c:strCache>
                <c:ptCount val="1"/>
                <c:pt idx="0">
                  <c:v>Principal reduction</c:v>
                </c:pt>
              </c:strCache>
            </c:strRef>
          </c:tx>
          <c:spPr>
            <a:solidFill>
              <a:srgbClr val="4472c4"/>
            </a:solidFill>
            <a:ln w="0">
              <a:solidFill>
                <a:srgbClr val="4472c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 Amortization'!$B$36:$B$59</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'1 Amortization'!$F$36:$F$59</c:f>
              <c:numCache>
                <c:formatCode>\$#,##0.00;"($"#,##0.00\)</c:formatCode>
                <c:ptCount val="24"/>
                <c:pt idx="0">
                  <c:v>189.057965020917</c:v>
                </c:pt>
                <c:pt idx="1">
                  <c:v>190.633448062758</c:v>
                </c:pt>
                <c:pt idx="2">
                  <c:v>192.222060129947</c:v>
                </c:pt>
                <c:pt idx="3">
                  <c:v>193.82391063103</c:v>
                </c:pt>
                <c:pt idx="4">
                  <c:v>195.439109886289</c:v>
                </c:pt>
                <c:pt idx="5">
                  <c:v>197.067769135341</c:v>
                </c:pt>
                <c:pt idx="6">
                  <c:v>198.710000544802</c:v>
                </c:pt>
                <c:pt idx="7">
                  <c:v>200.365917216009</c:v>
                </c:pt>
                <c:pt idx="8">
                  <c:v>202.035633192809</c:v>
                </c:pt>
                <c:pt idx="9">
                  <c:v>203.719263469416</c:v>
                </c:pt>
                <c:pt idx="10">
                  <c:v>205.416923998328</c:v>
                </c:pt>
                <c:pt idx="11">
                  <c:v>207.128731698314</c:v>
                </c:pt>
                <c:pt idx="12">
                  <c:v>208.854804462466</c:v>
                </c:pt>
                <c:pt idx="13">
                  <c:v>210.59526116632</c:v>
                </c:pt>
                <c:pt idx="14">
                  <c:v>212.350221676039</c:v>
                </c:pt>
                <c:pt idx="15">
                  <c:v>214.119806856673</c:v>
                </c:pt>
                <c:pt idx="16">
                  <c:v>215.904138580479</c:v>
                </c:pt>
                <c:pt idx="17">
                  <c:v>217.703339735316</c:v>
                </c:pt>
                <c:pt idx="18">
                  <c:v>219.51753423311</c:v>
                </c:pt>
                <c:pt idx="19">
                  <c:v>221.346847018386</c:v>
                </c:pt>
                <c:pt idx="20">
                  <c:v>223.191404076873</c:v>
                </c:pt>
                <c:pt idx="21">
                  <c:v>225.05133244418</c:v>
                </c:pt>
                <c:pt idx="22">
                  <c:v>226.926760214548</c:v>
                </c:pt>
                <c:pt idx="23">
                  <c:v>228.817816549651</c:v>
                </c:pt>
              </c:numCache>
            </c:numRef>
          </c:val>
        </c:ser>
        <c:ser>
          <c:idx val="1"/>
          <c:order val="1"/>
          <c:tx>
            <c:strRef>
              <c:f>"Interest"</c:f>
              <c:strCache>
                <c:ptCount val="1"/>
                <c:pt idx="0">
                  <c:v>Interest</c:v>
                </c:pt>
              </c:strCache>
            </c:strRef>
          </c:tx>
          <c:spPr>
            <a:solidFill>
              <a:srgbClr val="ed7d31"/>
            </a:solidFill>
            <a:ln w="0">
              <a:solidFill>
                <a:srgbClr val="ed7d3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 Amortization'!$B$36:$B$59</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'1 Amortization'!$D$36:$D$59</c:f>
              <c:numCache>
                <c:formatCode>\$#,##0.00;"($"#,##0.00\)</c:formatCode>
                <c:ptCount val="24"/>
                <c:pt idx="0">
                  <c:v>41.6666666666667</c:v>
                </c:pt>
                <c:pt idx="1">
                  <c:v>40.0911836248257</c:v>
                </c:pt>
                <c:pt idx="2">
                  <c:v>38.5025715576361</c:v>
                </c:pt>
                <c:pt idx="3">
                  <c:v>36.9007210565532</c:v>
                </c:pt>
                <c:pt idx="4">
                  <c:v>35.2855218012946</c:v>
                </c:pt>
                <c:pt idx="5">
                  <c:v>33.6568625522422</c:v>
                </c:pt>
                <c:pt idx="6">
                  <c:v>32.014631142781</c:v>
                </c:pt>
                <c:pt idx="7">
                  <c:v>30.3587144715743</c:v>
                </c:pt>
                <c:pt idx="8">
                  <c:v>28.6889984947742</c:v>
                </c:pt>
                <c:pt idx="9">
                  <c:v>27.0053682181675</c:v>
                </c:pt>
                <c:pt idx="10">
                  <c:v>25.3077076892557</c:v>
                </c:pt>
                <c:pt idx="11">
                  <c:v>23.5958999892696</c:v>
                </c:pt>
                <c:pt idx="12">
                  <c:v>21.869827225117</c:v>
                </c:pt>
                <c:pt idx="13">
                  <c:v>20.1293705212631</c:v>
                </c:pt>
                <c:pt idx="14">
                  <c:v>18.3744100115438</c:v>
                </c:pt>
                <c:pt idx="15">
                  <c:v>16.6048248309101</c:v>
                </c:pt>
                <c:pt idx="16">
                  <c:v>14.8204931071045</c:v>
                </c:pt>
                <c:pt idx="17">
                  <c:v>13.0212919522672</c:v>
                </c:pt>
                <c:pt idx="18">
                  <c:v>11.2070974544729</c:v>
                </c:pt>
                <c:pt idx="19">
                  <c:v>9.37778466919698</c:v>
                </c:pt>
                <c:pt idx="20">
                  <c:v>7.53322761071043</c:v>
                </c:pt>
                <c:pt idx="21">
                  <c:v>5.67329924340316</c:v>
                </c:pt>
                <c:pt idx="22">
                  <c:v>3.79787147303499</c:v>
                </c:pt>
                <c:pt idx="23">
                  <c:v>1.90681513791376</c:v>
                </c:pt>
              </c:numCache>
            </c:numRef>
          </c:val>
        </c:ser>
        <c:gapWidth val="40"/>
        <c:overlap val="100"/>
        <c:axId val="9400150"/>
        <c:axId val="44679976"/>
      </c:barChart>
      <c:catAx>
        <c:axId val="940015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679976"/>
        <c:crosses val="autoZero"/>
        <c:auto val="1"/>
        <c:lblAlgn val="ctr"/>
        <c:lblOffset val="100"/>
        <c:noMultiLvlLbl val="0"/>
      </c:catAx>
      <c:valAx>
        <c:axId val="44679976"/>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Payment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0015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Wells Fargo Bank: interest vs. principal in each monthly payment ($)</a:t>
            </a:r>
          </a:p>
        </c:rich>
      </c:tx>
      <c:overlay val="0"/>
      <c:spPr>
        <a:noFill/>
        <a:ln w="0">
          <a:noFill/>
        </a:ln>
      </c:spPr>
    </c:title>
    <c:autoTitleDeleted val="0"/>
    <c:plotArea>
      <c:barChart>
        <c:barDir val="col"/>
        <c:grouping val="stacked"/>
        <c:varyColors val="0"/>
        <c:ser>
          <c:idx val="0"/>
          <c:order val="0"/>
          <c:tx>
            <c:strRef>
              <c:f>"Principal reduction"</c:f>
              <c:strCache>
                <c:ptCount val="1"/>
                <c:pt idx="0">
                  <c:v>Principal reduction</c:v>
                </c:pt>
              </c:strCache>
            </c:strRef>
          </c:tx>
          <c:spPr>
            <a:solidFill>
              <a:srgbClr val="4472c4"/>
            </a:solidFill>
            <a:ln w="0">
              <a:solidFill>
                <a:srgbClr val="4472c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 Amortization'!$J$36:$J$59</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'1 Amortization'!$N$36:$N$59</c:f>
              <c:numCache>
                <c:formatCode>\$#,##0.00;"($"#,##0.00\)</c:formatCode>
                <c:ptCount val="24"/>
                <c:pt idx="0">
                  <c:v>198.590153426041</c:v>
                </c:pt>
                <c:pt idx="1">
                  <c:v>199.748595987693</c:v>
                </c:pt>
                <c:pt idx="2">
                  <c:v>200.913796130954</c:v>
                </c:pt>
                <c:pt idx="3">
                  <c:v>202.085793275051</c:v>
                </c:pt>
                <c:pt idx="4">
                  <c:v>203.264627069156</c:v>
                </c:pt>
                <c:pt idx="5">
                  <c:v>204.450337393726</c:v>
                </c:pt>
                <c:pt idx="6">
                  <c:v>205.642964361856</c:v>
                </c:pt>
                <c:pt idx="7">
                  <c:v>206.842548320634</c:v>
                </c:pt>
                <c:pt idx="8">
                  <c:v>208.049129852504</c:v>
                </c:pt>
                <c:pt idx="9">
                  <c:v>209.262749776644</c:v>
                </c:pt>
                <c:pt idx="10">
                  <c:v>210.483449150341</c:v>
                </c:pt>
                <c:pt idx="11">
                  <c:v>211.711269270384</c:v>
                </c:pt>
                <c:pt idx="12">
                  <c:v>212.946251674461</c:v>
                </c:pt>
                <c:pt idx="13">
                  <c:v>214.188438142563</c:v>
                </c:pt>
                <c:pt idx="14">
                  <c:v>215.437870698394</c:v>
                </c:pt>
                <c:pt idx="15">
                  <c:v>216.694591610801</c:v>
                </c:pt>
                <c:pt idx="16">
                  <c:v>217.958643395198</c:v>
                </c:pt>
                <c:pt idx="17">
                  <c:v>219.230068815003</c:v>
                </c:pt>
                <c:pt idx="18">
                  <c:v>220.508910883091</c:v>
                </c:pt>
                <c:pt idx="19">
                  <c:v>221.795212863242</c:v>
                </c:pt>
                <c:pt idx="20">
                  <c:v>223.089018271611</c:v>
                </c:pt>
                <c:pt idx="21">
                  <c:v>224.390370878195</c:v>
                </c:pt>
                <c:pt idx="22">
                  <c:v>225.699314708318</c:v>
                </c:pt>
                <c:pt idx="23">
                  <c:v>227.015894044141</c:v>
                </c:pt>
              </c:numCache>
            </c:numRef>
          </c:val>
        </c:ser>
        <c:ser>
          <c:idx val="1"/>
          <c:order val="1"/>
          <c:tx>
            <c:strRef>
              <c:f>"Interest"</c:f>
              <c:strCache>
                <c:ptCount val="1"/>
                <c:pt idx="0">
                  <c:v>Interest</c:v>
                </c:pt>
              </c:strCache>
            </c:strRef>
          </c:tx>
          <c:spPr>
            <a:solidFill>
              <a:srgbClr val="ed7d31"/>
            </a:solidFill>
            <a:ln w="0">
              <a:solidFill>
                <a:srgbClr val="ed7d3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 Amortization'!$J$36:$J$59</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'1 Amortization'!$L$36:$L$59</c:f>
              <c:numCache>
                <c:formatCode>\$#,##0.00;"($"#,##0.00\)</c:formatCode>
                <c:ptCount val="24"/>
                <c:pt idx="0">
                  <c:v>29.75</c:v>
                </c:pt>
                <c:pt idx="1">
                  <c:v>28.5915574383481</c:v>
                </c:pt>
                <c:pt idx="2">
                  <c:v>27.4263572950866</c:v>
                </c:pt>
                <c:pt idx="3">
                  <c:v>26.2543601509893</c:v>
                </c:pt>
                <c:pt idx="4">
                  <c:v>25.0755263568849</c:v>
                </c:pt>
                <c:pt idx="5">
                  <c:v>23.8898160323148</c:v>
                </c:pt>
                <c:pt idx="6">
                  <c:v>22.6971890641847</c:v>
                </c:pt>
                <c:pt idx="7">
                  <c:v>21.4976051054072</c:v>
                </c:pt>
                <c:pt idx="8">
                  <c:v>20.2910235735369</c:v>
                </c:pt>
                <c:pt idx="9">
                  <c:v>19.0774036493973</c:v>
                </c:pt>
                <c:pt idx="10">
                  <c:v>17.8567042757002</c:v>
                </c:pt>
                <c:pt idx="11">
                  <c:v>16.6288841556565</c:v>
                </c:pt>
                <c:pt idx="12">
                  <c:v>15.3939017515793</c:v>
                </c:pt>
                <c:pt idx="13">
                  <c:v>14.1517152834782</c:v>
                </c:pt>
                <c:pt idx="14">
                  <c:v>12.9022827276466</c:v>
                </c:pt>
                <c:pt idx="15">
                  <c:v>11.6455618152393</c:v>
                </c:pt>
                <c:pt idx="16">
                  <c:v>10.381510030843</c:v>
                </c:pt>
                <c:pt idx="17">
                  <c:v>9.11008461103767</c:v>
                </c:pt>
                <c:pt idx="18">
                  <c:v>7.83124254295016</c:v>
                </c:pt>
                <c:pt idx="19">
                  <c:v>6.54494056279879</c:v>
                </c:pt>
                <c:pt idx="20">
                  <c:v>5.25113515442988</c:v>
                </c:pt>
                <c:pt idx="21">
                  <c:v>3.94978254784549</c:v>
                </c:pt>
                <c:pt idx="22">
                  <c:v>2.64083871772268</c:v>
                </c:pt>
                <c:pt idx="23">
                  <c:v>1.32425938192416</c:v>
                </c:pt>
              </c:numCache>
            </c:numRef>
          </c:val>
        </c:ser>
        <c:gapWidth val="40"/>
        <c:overlap val="100"/>
        <c:axId val="79398681"/>
        <c:axId val="89657075"/>
      </c:barChart>
      <c:catAx>
        <c:axId val="7939868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657075"/>
        <c:crosses val="autoZero"/>
        <c:auto val="1"/>
        <c:lblAlgn val="ctr"/>
        <c:lblOffset val="100"/>
        <c:noMultiLvlLbl val="0"/>
      </c:catAx>
      <c:valAx>
        <c:axId val="89657075"/>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Payment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39868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Outstanding balance after each payment, both loans ($)</a:t>
            </a:r>
          </a:p>
        </c:rich>
      </c:tx>
      <c:overlay val="0"/>
      <c:spPr>
        <a:noFill/>
        <a:ln w="0">
          <a:noFill/>
        </a:ln>
      </c:spPr>
    </c:title>
    <c:autoTitleDeleted val="0"/>
    <c:plotArea>
      <c:lineChart>
        <c:grouping val="standard"/>
        <c:varyColors val="0"/>
        <c:ser>
          <c:idx val="0"/>
          <c:order val="0"/>
          <c:tx>
            <c:strRef>
              <c:f>"Chase Bank"</c:f>
              <c:strCache>
                <c:ptCount val="1"/>
                <c:pt idx="0">
                  <c:v>Chase Bank</c:v>
                </c:pt>
              </c:strCache>
            </c:strRef>
          </c:tx>
          <c:spPr>
            <a:solidFill>
              <a:srgbClr val="4472c4"/>
            </a:solidFill>
            <a:ln w="20160">
              <a:solidFill>
                <a:srgbClr val="4472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 Amortization'!$B$35:$B$59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strCache>
            </c:strRef>
          </c:cat>
          <c:val>
            <c:numRef>
              <c:f>'1 Amortization'!$G$35:$G$59</c:f>
              <c:numCache>
                <c:formatCode>\$#,##0.00;"($"#,##0.00\)</c:formatCode>
                <c:ptCount val="25"/>
                <c:pt idx="0">
                  <c:v>5000</c:v>
                </c:pt>
                <c:pt idx="1">
                  <c:v>4810.94203497908</c:v>
                </c:pt>
                <c:pt idx="2">
                  <c:v>4620.30858691633</c:v>
                </c:pt>
                <c:pt idx="3">
                  <c:v>4428.08652678638</c:v>
                </c:pt>
                <c:pt idx="4">
                  <c:v>4234.26261615535</c:v>
                </c:pt>
                <c:pt idx="5">
                  <c:v>4038.82350626906</c:v>
                </c:pt>
                <c:pt idx="6">
                  <c:v>3841.75573713372</c:v>
                </c:pt>
                <c:pt idx="7">
                  <c:v>3643.04573658892</c:v>
                </c:pt>
                <c:pt idx="8">
                  <c:v>3442.67981937291</c:v>
                </c:pt>
                <c:pt idx="9">
                  <c:v>3240.6441861801</c:v>
                </c:pt>
                <c:pt idx="10">
                  <c:v>3036.92492271068</c:v>
                </c:pt>
                <c:pt idx="11">
                  <c:v>2831.50799871236</c:v>
                </c:pt>
                <c:pt idx="12">
                  <c:v>2624.37926701404</c:v>
                </c:pt>
                <c:pt idx="13">
                  <c:v>2415.52446255158</c:v>
                </c:pt>
                <c:pt idx="14">
                  <c:v>2204.92920138526</c:v>
                </c:pt>
                <c:pt idx="15">
                  <c:v>1992.57897970922</c:v>
                </c:pt>
                <c:pt idx="16">
                  <c:v>1778.45917285254</c:v>
                </c:pt>
                <c:pt idx="17">
                  <c:v>1562.55503427206</c:v>
                </c:pt>
                <c:pt idx="18">
                  <c:v>1344.85169453675</c:v>
                </c:pt>
                <c:pt idx="19">
                  <c:v>1125.33416030364</c:v>
                </c:pt>
                <c:pt idx="20">
                  <c:v>903.987313285252</c:v>
                </c:pt>
                <c:pt idx="21">
                  <c:v>680.795909208379</c:v>
                </c:pt>
                <c:pt idx="22">
                  <c:v>455.744576764199</c:v>
                </c:pt>
                <c:pt idx="23">
                  <c:v>228.817816549651</c:v>
                </c:pt>
                <c:pt idx="24">
                  <c:v>0</c:v>
                </c:pt>
              </c:numCache>
            </c:numRef>
          </c:val>
          <c:smooth val="0"/>
        </c:ser>
        <c:ser>
          <c:idx val="1"/>
          <c:order val="1"/>
          <c:tx>
            <c:strRef>
              <c:f>"Wells Fargo Bank"</c:f>
              <c:strCache>
                <c:ptCount val="1"/>
                <c:pt idx="0">
                  <c:v>Wells Fargo Bank</c:v>
                </c:pt>
              </c:strCache>
            </c:strRef>
          </c:tx>
          <c:spPr>
            <a:solidFill>
              <a:srgbClr val="ed7d31"/>
            </a:solidFill>
            <a:ln w="20160">
              <a:solidFill>
                <a:srgbClr val="ed7d3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 Amortization'!$B$35:$B$59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strCache>
            </c:strRef>
          </c:cat>
          <c:val>
            <c:numRef>
              <c:f>'1 Amortization'!$O$35:$O$59</c:f>
              <c:numCache>
                <c:formatCode>\$#,##0.00;"($"#,##0.00\)</c:formatCode>
                <c:ptCount val="25"/>
                <c:pt idx="0">
                  <c:v>5100</c:v>
                </c:pt>
                <c:pt idx="1">
                  <c:v>4901.40984657396</c:v>
                </c:pt>
                <c:pt idx="2">
                  <c:v>4701.66125058627</c:v>
                </c:pt>
                <c:pt idx="3">
                  <c:v>4500.74745445531</c:v>
                </c:pt>
                <c:pt idx="4">
                  <c:v>4298.66166118026</c:v>
                </c:pt>
                <c:pt idx="5">
                  <c:v>4095.39703411111</c:v>
                </c:pt>
                <c:pt idx="6">
                  <c:v>3890.94669671738</c:v>
                </c:pt>
                <c:pt idx="7">
                  <c:v>3685.30373235552</c:v>
                </c:pt>
                <c:pt idx="8">
                  <c:v>3478.46118403489</c:v>
                </c:pt>
                <c:pt idx="9">
                  <c:v>3270.41205418239</c:v>
                </c:pt>
                <c:pt idx="10">
                  <c:v>3061.14930440574</c:v>
                </c:pt>
                <c:pt idx="11">
                  <c:v>2850.6658552554</c:v>
                </c:pt>
                <c:pt idx="12">
                  <c:v>2638.95458598502</c:v>
                </c:pt>
                <c:pt idx="13">
                  <c:v>2426.00833431056</c:v>
                </c:pt>
                <c:pt idx="14">
                  <c:v>2211.81989616799</c:v>
                </c:pt>
                <c:pt idx="15">
                  <c:v>1996.3820254696</c:v>
                </c:pt>
                <c:pt idx="16">
                  <c:v>1779.6874338588</c:v>
                </c:pt>
                <c:pt idx="17">
                  <c:v>1561.7287904636</c:v>
                </c:pt>
                <c:pt idx="18">
                  <c:v>1342.4987216486</c:v>
                </c:pt>
                <c:pt idx="19">
                  <c:v>1121.98981076551</c:v>
                </c:pt>
                <c:pt idx="20">
                  <c:v>900.194597902266</c:v>
                </c:pt>
                <c:pt idx="21">
                  <c:v>677.105579630655</c:v>
                </c:pt>
                <c:pt idx="22">
                  <c:v>452.715208752459</c:v>
                </c:pt>
                <c:pt idx="23">
                  <c:v>227.015894044141</c:v>
                </c:pt>
                <c:pt idx="24">
                  <c:v>0</c:v>
                </c:pt>
              </c:numCache>
            </c:numRef>
          </c:val>
          <c:smooth val="0"/>
        </c:ser>
        <c:hiLowLines>
          <c:spPr>
            <a:ln w="0">
              <a:noFill/>
            </a:ln>
          </c:spPr>
        </c:hiLowLines>
        <c:marker val="0"/>
        <c:axId val="74129361"/>
        <c:axId val="88004291"/>
      </c:lineChart>
      <c:catAx>
        <c:axId val="7412936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 (0 = start)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004291"/>
        <c:crosses val="autoZero"/>
        <c:auto val="1"/>
        <c:lblAlgn val="ctr"/>
        <c:lblOffset val="100"/>
        <c:noMultiLvlLbl val="0"/>
      </c:catAx>
      <c:valAx>
        <c:axId val="88004291"/>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 owed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12936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Payoff balance and PV of remaining payments, by payoff month ($)</a:t>
            </a:r>
          </a:p>
        </c:rich>
      </c:tx>
      <c:overlay val="0"/>
      <c:spPr>
        <a:noFill/>
        <a:ln w="0">
          <a:noFill/>
        </a:ln>
      </c:spPr>
    </c:title>
    <c:autoTitleDeleted val="0"/>
    <c:plotArea>
      <c:lineChart>
        <c:grouping val="standard"/>
        <c:varyColors val="0"/>
        <c:ser>
          <c:idx val="0"/>
          <c:order val="0"/>
          <c:tx>
            <c:strRef>
              <c:f>"Chase: payoff balance"</c:f>
              <c:strCache>
                <c:ptCount val="1"/>
                <c:pt idx="0">
                  <c:v>Chase: payoff balance</c:v>
                </c:pt>
              </c:strCache>
            </c:strRef>
          </c:tx>
          <c:spPr>
            <a:solidFill>
              <a:srgbClr val="4472c4"/>
            </a:solidFill>
            <a:ln w="20160">
              <a:solidFill>
                <a:srgbClr val="4472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Payoff Analysis'!$A$19:$A$42</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'2 Payoff Analysis'!$C$19:$C$42</c:f>
              <c:numCache>
                <c:formatCode>\$#,##0.00;"($"#,##0.00\)</c:formatCode>
                <c:ptCount val="24"/>
                <c:pt idx="0">
                  <c:v>4810.94203497908</c:v>
                </c:pt>
                <c:pt idx="1">
                  <c:v>4620.30858691633</c:v>
                </c:pt>
                <c:pt idx="2">
                  <c:v>4428.08652678638</c:v>
                </c:pt>
                <c:pt idx="3">
                  <c:v>4234.26261615535</c:v>
                </c:pt>
                <c:pt idx="4">
                  <c:v>4038.82350626906</c:v>
                </c:pt>
                <c:pt idx="5">
                  <c:v>3841.75573713372</c:v>
                </c:pt>
                <c:pt idx="6">
                  <c:v>3643.04573658892</c:v>
                </c:pt>
                <c:pt idx="7">
                  <c:v>3442.67981937291</c:v>
                </c:pt>
                <c:pt idx="8">
                  <c:v>3240.6441861801</c:v>
                </c:pt>
                <c:pt idx="9">
                  <c:v>3036.92492271068</c:v>
                </c:pt>
                <c:pt idx="10">
                  <c:v>2831.50799871236</c:v>
                </c:pt>
                <c:pt idx="11">
                  <c:v>2624.37926701404</c:v>
                </c:pt>
                <c:pt idx="12">
                  <c:v>2415.52446255158</c:v>
                </c:pt>
                <c:pt idx="13">
                  <c:v>2204.92920138526</c:v>
                </c:pt>
                <c:pt idx="14">
                  <c:v>1992.57897970922</c:v>
                </c:pt>
                <c:pt idx="15">
                  <c:v>1778.45917285254</c:v>
                </c:pt>
                <c:pt idx="16">
                  <c:v>1562.55503427206</c:v>
                </c:pt>
                <c:pt idx="17">
                  <c:v>1344.85169453675</c:v>
                </c:pt>
                <c:pt idx="18">
                  <c:v>1125.33416030364</c:v>
                </c:pt>
                <c:pt idx="19">
                  <c:v>903.987313285252</c:v>
                </c:pt>
                <c:pt idx="20">
                  <c:v>680.795909208379</c:v>
                </c:pt>
                <c:pt idx="21">
                  <c:v>455.744576764199</c:v>
                </c:pt>
                <c:pt idx="22">
                  <c:v>228.817816549651</c:v>
                </c:pt>
                <c:pt idx="23">
                  <c:v>0</c:v>
                </c:pt>
              </c:numCache>
            </c:numRef>
          </c:val>
          <c:smooth val="0"/>
        </c:ser>
        <c:ser>
          <c:idx val="1"/>
          <c:order val="1"/>
          <c:tx>
            <c:strRef>
              <c:f>"Chase: PV of remaining payments (same line)"</c:f>
              <c:strCache>
                <c:ptCount val="1"/>
                <c:pt idx="0">
                  <c:v>Chase: PV of remaining payments (same line)</c:v>
                </c:pt>
              </c:strCache>
            </c:strRef>
          </c:tx>
          <c:spPr>
            <a:solidFill>
              <a:srgbClr val="9dc3e6"/>
            </a:solidFill>
            <a:ln w="20160">
              <a:solidFill>
                <a:srgbClr val="9dc3e6"/>
              </a:solidFill>
              <a:prstDash val="sys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Payoff Analysis'!$A$19:$A$42</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'2 Payoff Analysis'!$D$19:$D$42</c:f>
              <c:numCache>
                <c:formatCode>\$#,##0.00;"($"#,##0.00\)</c:formatCode>
                <c:ptCount val="24"/>
                <c:pt idx="0">
                  <c:v>4810.94203497908</c:v>
                </c:pt>
                <c:pt idx="1">
                  <c:v>4620.30858691633</c:v>
                </c:pt>
                <c:pt idx="2">
                  <c:v>4428.08652678638</c:v>
                </c:pt>
                <c:pt idx="3">
                  <c:v>4234.26261615535</c:v>
                </c:pt>
                <c:pt idx="4">
                  <c:v>4038.82350626906</c:v>
                </c:pt>
                <c:pt idx="5">
                  <c:v>3841.75573713372</c:v>
                </c:pt>
                <c:pt idx="6">
                  <c:v>3643.04573658892</c:v>
                </c:pt>
                <c:pt idx="7">
                  <c:v>3442.67981937291</c:v>
                </c:pt>
                <c:pt idx="8">
                  <c:v>3240.6441861801</c:v>
                </c:pt>
                <c:pt idx="9">
                  <c:v>3036.92492271069</c:v>
                </c:pt>
                <c:pt idx="10">
                  <c:v>2831.50799871236</c:v>
                </c:pt>
                <c:pt idx="11">
                  <c:v>2624.37926701405</c:v>
                </c:pt>
                <c:pt idx="12">
                  <c:v>2415.52446255158</c:v>
                </c:pt>
                <c:pt idx="13">
                  <c:v>2204.92920138526</c:v>
                </c:pt>
                <c:pt idx="14">
                  <c:v>1992.57897970923</c:v>
                </c:pt>
                <c:pt idx="15">
                  <c:v>1778.45917285256</c:v>
                </c:pt>
                <c:pt idx="16">
                  <c:v>1562.55503427208</c:v>
                </c:pt>
                <c:pt idx="17">
                  <c:v>1344.85169453676</c:v>
                </c:pt>
                <c:pt idx="18">
                  <c:v>1125.33416030365</c:v>
                </c:pt>
                <c:pt idx="19">
                  <c:v>903.987313285268</c:v>
                </c:pt>
                <c:pt idx="20">
                  <c:v>680.795909208394</c:v>
                </c:pt>
                <c:pt idx="21">
                  <c:v>455.744576764217</c:v>
                </c:pt>
                <c:pt idx="22">
                  <c:v>228.817816549669</c:v>
                </c:pt>
                <c:pt idx="23">
                  <c:v>-0</c:v>
                </c:pt>
              </c:numCache>
            </c:numRef>
          </c:val>
          <c:smooth val="0"/>
        </c:ser>
        <c:ser>
          <c:idx val="2"/>
          <c:order val="2"/>
          <c:tx>
            <c:strRef>
              <c:f>"Wells Fargo: payoff balance"</c:f>
              <c:strCache>
                <c:ptCount val="1"/>
                <c:pt idx="0">
                  <c:v>Wells Fargo: payoff balance</c:v>
                </c:pt>
              </c:strCache>
            </c:strRef>
          </c:tx>
          <c:spPr>
            <a:solidFill>
              <a:srgbClr val="ed7d31"/>
            </a:solidFill>
            <a:ln w="20160">
              <a:solidFill>
                <a:srgbClr val="ed7d3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Payoff Analysis'!$A$19:$A$42</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'2 Payoff Analysis'!$F$19:$F$42</c:f>
              <c:numCache>
                <c:formatCode>\$#,##0.00;"($"#,##0.00\)</c:formatCode>
                <c:ptCount val="24"/>
                <c:pt idx="0">
                  <c:v>4901.40984657396</c:v>
                </c:pt>
                <c:pt idx="1">
                  <c:v>4701.66125058627</c:v>
                </c:pt>
                <c:pt idx="2">
                  <c:v>4500.74745445531</c:v>
                </c:pt>
                <c:pt idx="3">
                  <c:v>4298.66166118026</c:v>
                </c:pt>
                <c:pt idx="4">
                  <c:v>4095.39703411111</c:v>
                </c:pt>
                <c:pt idx="5">
                  <c:v>3890.94669671738</c:v>
                </c:pt>
                <c:pt idx="6">
                  <c:v>3685.30373235552</c:v>
                </c:pt>
                <c:pt idx="7">
                  <c:v>3478.46118403489</c:v>
                </c:pt>
                <c:pt idx="8">
                  <c:v>3270.41205418239</c:v>
                </c:pt>
                <c:pt idx="9">
                  <c:v>3061.14930440574</c:v>
                </c:pt>
                <c:pt idx="10">
                  <c:v>2850.6658552554</c:v>
                </c:pt>
                <c:pt idx="11">
                  <c:v>2638.95458598502</c:v>
                </c:pt>
                <c:pt idx="12">
                  <c:v>2426.00833431056</c:v>
                </c:pt>
                <c:pt idx="13">
                  <c:v>2211.81989616799</c:v>
                </c:pt>
                <c:pt idx="14">
                  <c:v>1996.3820254696</c:v>
                </c:pt>
                <c:pt idx="15">
                  <c:v>1779.6874338588</c:v>
                </c:pt>
                <c:pt idx="16">
                  <c:v>1561.7287904636</c:v>
                </c:pt>
                <c:pt idx="17">
                  <c:v>1342.4987216486</c:v>
                </c:pt>
                <c:pt idx="18">
                  <c:v>1121.98981076551</c:v>
                </c:pt>
                <c:pt idx="19">
                  <c:v>900.194597902266</c:v>
                </c:pt>
                <c:pt idx="20">
                  <c:v>677.105579630655</c:v>
                </c:pt>
                <c:pt idx="21">
                  <c:v>452.715208752459</c:v>
                </c:pt>
                <c:pt idx="22">
                  <c:v>227.015894044141</c:v>
                </c:pt>
                <c:pt idx="23">
                  <c:v>0</c:v>
                </c:pt>
              </c:numCache>
            </c:numRef>
          </c:val>
          <c:smooth val="0"/>
        </c:ser>
        <c:ser>
          <c:idx val="3"/>
          <c:order val="3"/>
          <c:tx>
            <c:strRef>
              <c:f>"Wells Fargo: PV of remaining payments"</c:f>
              <c:strCache>
                <c:ptCount val="1"/>
                <c:pt idx="0">
                  <c:v>Wells Fargo: PV of remaining payments</c:v>
                </c:pt>
              </c:strCache>
            </c:strRef>
          </c:tx>
          <c:spPr>
            <a:solidFill>
              <a:srgbClr val="f4b183"/>
            </a:solidFill>
            <a:ln w="20160">
              <a:solidFill>
                <a:srgbClr val="f4b183"/>
              </a:solidFill>
              <a:prstDash val="sys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Payoff Analysis'!$A$19:$A$42</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'2 Payoff Analysis'!$G$19:$G$42</c:f>
              <c:numCache>
                <c:formatCode>\$#,##0.00;"($"#,##0.00\)</c:formatCode>
                <c:ptCount val="24"/>
                <c:pt idx="0">
                  <c:v>4761.22221696034</c:v>
                </c:pt>
                <c:pt idx="1">
                  <c:v>4572.5589153423</c:v>
                </c:pt>
                <c:pt idx="2">
                  <c:v>4382.32341954411</c:v>
                </c:pt>
                <c:pt idx="3">
                  <c:v>4190.50262794761</c:v>
                </c:pt>
                <c:pt idx="4">
                  <c:v>3997.08332975446</c:v>
                </c:pt>
                <c:pt idx="5">
                  <c:v>3802.05220407638</c:v>
                </c:pt>
                <c:pt idx="6">
                  <c:v>3605.39581901764</c:v>
                </c:pt>
                <c:pt idx="7">
                  <c:v>3407.10063075008</c:v>
                </c:pt>
                <c:pt idx="8">
                  <c:v>3207.15298258029</c:v>
                </c:pt>
                <c:pt idx="9">
                  <c:v>3005.53910400909</c:v>
                </c:pt>
                <c:pt idx="10">
                  <c:v>2802.24510978312</c:v>
                </c:pt>
                <c:pt idx="11">
                  <c:v>2597.25699893861</c:v>
                </c:pt>
                <c:pt idx="12">
                  <c:v>2390.56065383706</c:v>
                </c:pt>
                <c:pt idx="13">
                  <c:v>2182.14183919299</c:v>
                </c:pt>
                <c:pt idx="14">
                  <c:v>1971.98620109356</c:v>
                </c:pt>
                <c:pt idx="15">
                  <c:v>1760.07926600997</c:v>
                </c:pt>
                <c:pt idx="16">
                  <c:v>1546.40643980068</c:v>
                </c:pt>
                <c:pt idx="17">
                  <c:v>1330.95300670631</c:v>
                </c:pt>
                <c:pt idx="18">
                  <c:v>1113.70412833616</c:v>
                </c:pt>
                <c:pt idx="19">
                  <c:v>894.644842646252</c:v>
                </c:pt>
                <c:pt idx="20">
                  <c:v>673.760062908929</c:v>
                </c:pt>
                <c:pt idx="21">
                  <c:v>451.034576673799</c:v>
                </c:pt>
                <c:pt idx="22">
                  <c:v>226.45304472004</c:v>
                </c:pt>
                <c:pt idx="23">
                  <c:v>-0</c:v>
                </c:pt>
              </c:numCache>
            </c:numRef>
          </c:val>
          <c:smooth val="0"/>
        </c:ser>
        <c:hiLowLines>
          <c:spPr>
            <a:ln w="0">
              <a:noFill/>
            </a:ln>
          </c:spPr>
        </c:hiLowLines>
        <c:marker val="0"/>
        <c:axId val="87721782"/>
        <c:axId val="17913138"/>
      </c:lineChart>
      <c:catAx>
        <c:axId val="8772178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Payoff month m</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913138"/>
        <c:crosses val="autoZero"/>
        <c:auto val="1"/>
        <c:lblAlgn val="ctr"/>
        <c:lblOffset val="100"/>
        <c:noMultiLvlLbl val="0"/>
      </c:catAx>
      <c:valAx>
        <c:axId val="17913138"/>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72178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Payoff balance minus PV of remaining payments ($)</a:t>
            </a:r>
          </a:p>
        </c:rich>
      </c:tx>
      <c:overlay val="0"/>
      <c:spPr>
        <a:noFill/>
        <a:ln w="0">
          <a:noFill/>
        </a:ln>
      </c:spPr>
    </c:title>
    <c:autoTitleDeleted val="0"/>
    <c:plotArea>
      <c:lineChart>
        <c:grouping val="standard"/>
        <c:varyColors val="0"/>
        <c:ser>
          <c:idx val="0"/>
          <c:order val="0"/>
          <c:tx>
            <c:strRef>
              <c:f>"Chase (zero in every month)"</c:f>
              <c:strCache>
                <c:ptCount val="1"/>
                <c:pt idx="0">
                  <c:v>Chase (zero in every month)</c:v>
                </c:pt>
              </c:strCache>
            </c:strRef>
          </c:tx>
          <c:spPr>
            <a:solidFill>
              <a:srgbClr val="4472c4"/>
            </a:solidFill>
            <a:ln w="20160">
              <a:solidFill>
                <a:srgbClr val="4472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Payoff Analysis'!$A$19:$A$42</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'2 Payoff Analysis'!$E$19:$E$42</c:f>
              <c:numCache>
                <c:formatCode>\$#,##0.00;"($"#,##0.00\)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ser>
        <c:ser>
          <c:idx val="1"/>
          <c:order val="1"/>
          <c:tx>
            <c:strRef>
              <c:f>"Wells Fargo"</c:f>
              <c:strCache>
                <c:ptCount val="1"/>
                <c:pt idx="0">
                  <c:v>Wells Fargo</c:v>
                </c:pt>
              </c:strCache>
            </c:strRef>
          </c:tx>
          <c:spPr>
            <a:solidFill>
              <a:srgbClr val="ed7d31"/>
            </a:solidFill>
            <a:ln w="20160">
              <a:solidFill>
                <a:srgbClr val="ed7d3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Payoff Analysis'!$A$19:$A$42</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'2 Payoff Analysis'!$H$19:$H$42</c:f>
              <c:numCache>
                <c:formatCode>\$#,##0.00;"($"#,##0.00\)</c:formatCode>
                <c:ptCount val="24"/>
                <c:pt idx="0">
                  <c:v>140.18762961</c:v>
                </c:pt>
                <c:pt idx="1">
                  <c:v>129.10233524</c:v>
                </c:pt>
                <c:pt idx="2">
                  <c:v>118.42403491</c:v>
                </c:pt>
                <c:pt idx="3">
                  <c:v>108.15903323</c:v>
                </c:pt>
                <c:pt idx="4">
                  <c:v>98.31370436</c:v>
                </c:pt>
                <c:pt idx="5">
                  <c:v>88.89449264</c:v>
                </c:pt>
                <c:pt idx="6">
                  <c:v>79.90791334</c:v>
                </c:pt>
                <c:pt idx="7">
                  <c:v>71.36055328</c:v>
                </c:pt>
                <c:pt idx="8">
                  <c:v>63.2590716</c:v>
                </c:pt>
                <c:pt idx="9">
                  <c:v>55.6102004</c:v>
                </c:pt>
                <c:pt idx="10">
                  <c:v>48.42074547</c:v>
                </c:pt>
                <c:pt idx="11">
                  <c:v>41.69758705</c:v>
                </c:pt>
                <c:pt idx="12">
                  <c:v>35.44768047</c:v>
                </c:pt>
                <c:pt idx="13">
                  <c:v>29.67805698</c:v>
                </c:pt>
                <c:pt idx="14">
                  <c:v>24.39582438</c:v>
                </c:pt>
                <c:pt idx="15">
                  <c:v>19.60816785</c:v>
                </c:pt>
                <c:pt idx="16">
                  <c:v>15.32235066</c:v>
                </c:pt>
                <c:pt idx="17">
                  <c:v>11.54571494</c:v>
                </c:pt>
                <c:pt idx="18">
                  <c:v>8.28568243</c:v>
                </c:pt>
                <c:pt idx="19">
                  <c:v>5.54975526</c:v>
                </c:pt>
                <c:pt idx="20">
                  <c:v>3.34551672</c:v>
                </c:pt>
                <c:pt idx="21">
                  <c:v>1.68063208</c:v>
                </c:pt>
                <c:pt idx="22">
                  <c:v>0.56284932</c:v>
                </c:pt>
                <c:pt idx="23">
                  <c:v>0</c:v>
                </c:pt>
              </c:numCache>
            </c:numRef>
          </c:val>
          <c:smooth val="0"/>
        </c:ser>
        <c:hiLowLines>
          <c:spPr>
            <a:ln w="0">
              <a:noFill/>
            </a:ln>
          </c:spPr>
        </c:hiLowLines>
        <c:marker val="0"/>
        <c:axId val="42770898"/>
        <c:axId val="50057439"/>
      </c:lineChart>
      <c:catAx>
        <c:axId val="4277089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Payoff month m</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057439"/>
        <c:crosses val="autoZero"/>
        <c:auto val="1"/>
        <c:lblAlgn val="ctr"/>
        <c:lblOffset val="100"/>
        <c:noMultiLvlLbl val="0"/>
      </c:catAx>
      <c:valAx>
        <c:axId val="50057439"/>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77089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2.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79</xdr:row>
      <xdr:rowOff>0</xdr:rowOff>
    </xdr:from>
    <xdr:to>
      <xdr:col>2</xdr:col>
      <xdr:colOff>998280</xdr:colOff>
      <xdr:row>93</xdr:row>
      <xdr:rowOff>32760</xdr:rowOff>
    </xdr:to>
    <xdr:graphicFrame>
      <xdr:nvGraphicFramePr>
        <xdr:cNvPr id="0" name="Chart 1"/>
        <xdr:cNvGraphicFramePr/>
      </xdr:nvGraphicFramePr>
      <xdr:xfrm>
        <a:off x="0" y="21574080"/>
        <a:ext cx="557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79</xdr:row>
      <xdr:rowOff>0</xdr:rowOff>
    </xdr:from>
    <xdr:to>
      <xdr:col>14</xdr:col>
      <xdr:colOff>575280</xdr:colOff>
      <xdr:row>93</xdr:row>
      <xdr:rowOff>32760</xdr:rowOff>
    </xdr:to>
    <xdr:graphicFrame>
      <xdr:nvGraphicFramePr>
        <xdr:cNvPr id="1" name="Chart 2"/>
        <xdr:cNvGraphicFramePr/>
      </xdr:nvGraphicFramePr>
      <xdr:xfrm>
        <a:off x="11207160" y="21574080"/>
        <a:ext cx="557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96</xdr:row>
      <xdr:rowOff>0</xdr:rowOff>
    </xdr:from>
    <xdr:to>
      <xdr:col>2</xdr:col>
      <xdr:colOff>998280</xdr:colOff>
      <xdr:row>110</xdr:row>
      <xdr:rowOff>32760</xdr:rowOff>
    </xdr:to>
    <xdr:graphicFrame>
      <xdr:nvGraphicFramePr>
        <xdr:cNvPr id="2" name="Chart 3"/>
        <xdr:cNvGraphicFramePr/>
      </xdr:nvGraphicFramePr>
      <xdr:xfrm>
        <a:off x="0" y="24812640"/>
        <a:ext cx="557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16</xdr:row>
      <xdr:rowOff>0</xdr:rowOff>
    </xdr:from>
    <xdr:to>
      <xdr:col>18</xdr:col>
      <xdr:colOff>75960</xdr:colOff>
      <xdr:row>30</xdr:row>
      <xdr:rowOff>20520</xdr:rowOff>
    </xdr:to>
    <xdr:graphicFrame>
      <xdr:nvGraphicFramePr>
        <xdr:cNvPr id="3" name="Chart 1"/>
        <xdr:cNvGraphicFramePr/>
      </xdr:nvGraphicFramePr>
      <xdr:xfrm>
        <a:off x="11136600" y="4000680"/>
        <a:ext cx="55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34</xdr:row>
      <xdr:rowOff>0</xdr:rowOff>
    </xdr:from>
    <xdr:to>
      <xdr:col>18</xdr:col>
      <xdr:colOff>75960</xdr:colOff>
      <xdr:row>45</xdr:row>
      <xdr:rowOff>262080</xdr:rowOff>
    </xdr:to>
    <xdr:graphicFrame>
      <xdr:nvGraphicFramePr>
        <xdr:cNvPr id="4" name="Chart 2"/>
        <xdr:cNvGraphicFramePr/>
      </xdr:nvGraphicFramePr>
      <xdr:xfrm>
        <a:off x="11136600" y="7981920"/>
        <a:ext cx="557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4" min="2" style="0" width="15"/>
    <col collapsed="false" customWidth="true" hidden="false" outlineLevel="0" max="5" min="5" style="0" width="17"/>
    <col collapsed="false" customWidth="true" hidden="false" outlineLevel="0" max="8" min="6" style="0" width="15"/>
    <col collapsed="false" customWidth="true" hidden="false" outlineLevel="0" max="9" min="9" style="0" width="2"/>
    <col collapsed="false" customWidth="true" hidden="false" outlineLevel="0" max="10" min="10" style="0" width="9"/>
    <col collapsed="false" customWidth="true" hidden="false" outlineLevel="0" max="13" min="11" style="0" width="15"/>
    <col collapsed="false" customWidth="true" hidden="false" outlineLevel="0" max="14" min="14" style="0" width="17"/>
    <col collapsed="false" customWidth="true" hidden="false" outlineLevel="0" max="16" min="15" style="0" width="15"/>
  </cols>
  <sheetData>
    <row r="1" customFormat="false" ht="18" hidden="false" customHeight="true" outlineLevel="0" collapsed="false">
      <c r="A1" s="1" t="s">
        <v>0</v>
      </c>
    </row>
    <row r="2" customFormat="false" ht="27.75" hidden="false" customHeight="true" outlineLevel="0" collapsed="false">
      <c r="A2" s="2" t="s">
        <v>1</v>
      </c>
      <c r="B2" s="2"/>
      <c r="C2" s="2"/>
      <c r="D2" s="2"/>
      <c r="E2" s="2"/>
      <c r="F2" s="2"/>
      <c r="G2" s="2"/>
      <c r="H2" s="2"/>
      <c r="I2" s="2"/>
      <c r="J2" s="2"/>
      <c r="K2" s="2"/>
      <c r="L2" s="2"/>
      <c r="M2" s="2"/>
      <c r="N2" s="2"/>
      <c r="O2" s="2"/>
      <c r="P2" s="2"/>
    </row>
    <row r="3" customFormat="false" ht="27.75" hidden="false" customHeight="true" outlineLevel="0" collapsed="false">
      <c r="A3" s="2" t="s">
        <v>2</v>
      </c>
      <c r="B3" s="2"/>
      <c r="C3" s="2"/>
      <c r="D3" s="2"/>
      <c r="E3" s="2"/>
      <c r="F3" s="2"/>
      <c r="G3" s="2"/>
      <c r="H3" s="2"/>
      <c r="I3" s="2"/>
      <c r="J3" s="2"/>
      <c r="K3" s="2"/>
      <c r="L3" s="2"/>
      <c r="M3" s="2"/>
      <c r="N3" s="2"/>
      <c r="O3" s="2"/>
      <c r="P3" s="2"/>
    </row>
    <row r="5" customFormat="false" ht="15" hidden="false" customHeight="false" outlineLevel="0" collapsed="false">
      <c r="A5" s="3" t="s">
        <v>3</v>
      </c>
    </row>
    <row r="6" customFormat="false" ht="27.75" hidden="false" customHeight="true" outlineLevel="0" collapsed="false">
      <c r="A6" s="4"/>
      <c r="B6" s="4" t="s">
        <v>4</v>
      </c>
      <c r="C6" s="4" t="s">
        <v>5</v>
      </c>
      <c r="D6" s="4" t="s">
        <v>6</v>
      </c>
      <c r="E6" s="4"/>
      <c r="F6" s="4"/>
      <c r="G6" s="4"/>
    </row>
    <row r="7" customFormat="false" ht="27.75" hidden="false" customHeight="true" outlineLevel="0" collapsed="false">
      <c r="A7" s="5" t="s">
        <v>7</v>
      </c>
      <c r="B7" s="6" t="n">
        <v>5000</v>
      </c>
      <c r="C7" s="6" t="n">
        <v>5000</v>
      </c>
      <c r="D7" s="7" t="s">
        <v>8</v>
      </c>
      <c r="E7" s="7"/>
      <c r="F7" s="7"/>
      <c r="G7" s="7"/>
    </row>
    <row r="8" customFormat="false" ht="27.75" hidden="false" customHeight="true" outlineLevel="0" collapsed="false">
      <c r="A8" s="5" t="s">
        <v>9</v>
      </c>
      <c r="B8" s="8" t="n">
        <v>0.1</v>
      </c>
      <c r="C8" s="8" t="n">
        <v>0.07</v>
      </c>
      <c r="D8" s="7" t="s">
        <v>10</v>
      </c>
      <c r="E8" s="7"/>
      <c r="F8" s="7"/>
      <c r="G8" s="7"/>
    </row>
    <row r="9" customFormat="false" ht="27.75" hidden="false" customHeight="true" outlineLevel="0" collapsed="false">
      <c r="A9" s="5" t="s">
        <v>11</v>
      </c>
      <c r="B9" s="9" t="n">
        <v>12</v>
      </c>
      <c r="C9" s="9" t="n">
        <v>12</v>
      </c>
      <c r="D9" s="7" t="s">
        <v>12</v>
      </c>
      <c r="E9" s="7"/>
      <c r="F9" s="7"/>
      <c r="G9" s="7"/>
    </row>
    <row r="10" customFormat="false" ht="27.75" hidden="false" customHeight="true" outlineLevel="0" collapsed="false">
      <c r="A10" s="5" t="s">
        <v>13</v>
      </c>
      <c r="B10" s="9" t="n">
        <v>2</v>
      </c>
      <c r="C10" s="9" t="n">
        <v>2</v>
      </c>
      <c r="D10" s="7" t="s">
        <v>14</v>
      </c>
      <c r="E10" s="7"/>
      <c r="F10" s="7"/>
      <c r="G10" s="7"/>
    </row>
    <row r="11" customFormat="false" ht="27.75" hidden="false" customHeight="true" outlineLevel="0" collapsed="false">
      <c r="A11" s="5" t="s">
        <v>15</v>
      </c>
      <c r="B11" s="8" t="n">
        <v>0</v>
      </c>
      <c r="C11" s="8" t="n">
        <v>0.02</v>
      </c>
      <c r="D11" s="7" t="s">
        <v>16</v>
      </c>
      <c r="E11" s="7"/>
      <c r="F11" s="7"/>
      <c r="G11" s="7"/>
    </row>
    <row r="13" customFormat="false" ht="15" hidden="false" customHeight="false" outlineLevel="0" collapsed="false">
      <c r="A13" s="3" t="s">
        <v>17</v>
      </c>
    </row>
    <row r="14" customFormat="false" ht="27.75" hidden="false" customHeight="true" outlineLevel="0" collapsed="false">
      <c r="A14" s="4"/>
      <c r="B14" s="4" t="s">
        <v>4</v>
      </c>
      <c r="C14" s="4" t="s">
        <v>5</v>
      </c>
      <c r="D14" s="4" t="s">
        <v>18</v>
      </c>
      <c r="E14" s="4"/>
      <c r="F14" s="4"/>
      <c r="G14" s="4"/>
    </row>
    <row r="15" customFormat="false" ht="27.75" hidden="false" customHeight="true" outlineLevel="0" collapsed="false">
      <c r="A15" s="5" t="s">
        <v>19</v>
      </c>
      <c r="B15" s="10" t="n">
        <f aca="false">B8/B9</f>
        <v>0.00833333333333333</v>
      </c>
      <c r="C15" s="10" t="n">
        <f aca="false">C8/C9</f>
        <v>0.00583333333333333</v>
      </c>
      <c r="D15" s="7" t="s">
        <v>20</v>
      </c>
      <c r="E15" s="7"/>
      <c r="F15" s="7"/>
      <c r="G15" s="7"/>
    </row>
    <row r="16" customFormat="false" ht="27.75" hidden="false" customHeight="true" outlineLevel="0" collapsed="false">
      <c r="A16" s="5" t="s">
        <v>21</v>
      </c>
      <c r="B16" s="11" t="n">
        <f aca="false">B10*B9</f>
        <v>24</v>
      </c>
      <c r="C16" s="11" t="n">
        <f aca="false">C10*C9</f>
        <v>24</v>
      </c>
      <c r="D16" s="7" t="s">
        <v>22</v>
      </c>
      <c r="E16" s="7"/>
      <c r="F16" s="7"/>
      <c r="G16" s="7"/>
    </row>
    <row r="18" customFormat="false" ht="15" hidden="false" customHeight="false" outlineLevel="0" collapsed="false">
      <c r="A18" s="3" t="s">
        <v>23</v>
      </c>
    </row>
    <row r="19" customFormat="false" ht="27.75" hidden="false" customHeight="true" outlineLevel="0" collapsed="false">
      <c r="A19" s="4"/>
      <c r="B19" s="4" t="s">
        <v>4</v>
      </c>
      <c r="C19" s="4" t="s">
        <v>5</v>
      </c>
      <c r="D19" s="4" t="s">
        <v>18</v>
      </c>
      <c r="E19" s="4"/>
      <c r="F19" s="4"/>
      <c r="G19" s="4"/>
    </row>
    <row r="20" customFormat="false" ht="27.75" hidden="false" customHeight="true" outlineLevel="0" collapsed="false">
      <c r="A20" s="5" t="s">
        <v>24</v>
      </c>
      <c r="B20" s="12" t="n">
        <f aca="false">B7*B11</f>
        <v>0</v>
      </c>
      <c r="C20" s="12" t="n">
        <f aca="false">C7*C11</f>
        <v>100</v>
      </c>
      <c r="D20" s="7" t="s">
        <v>25</v>
      </c>
      <c r="E20" s="7"/>
      <c r="F20" s="7"/>
      <c r="G20" s="7"/>
    </row>
    <row r="21" customFormat="false" ht="27.75" hidden="false" customHeight="true" outlineLevel="0" collapsed="false">
      <c r="A21" s="5" t="s">
        <v>26</v>
      </c>
      <c r="B21" s="12" t="n">
        <f aca="false">B7+B20</f>
        <v>5000</v>
      </c>
      <c r="C21" s="12" t="n">
        <f aca="false">C7+C20</f>
        <v>5100</v>
      </c>
      <c r="D21" s="7" t="s">
        <v>27</v>
      </c>
      <c r="E21" s="7"/>
      <c r="F21" s="7"/>
      <c r="G21" s="7"/>
    </row>
    <row r="23" customFormat="false" ht="15" hidden="false" customHeight="false" outlineLevel="0" collapsed="false">
      <c r="A23" s="3" t="s">
        <v>28</v>
      </c>
    </row>
    <row r="24" customFormat="false" ht="27.75" hidden="false" customHeight="true" outlineLevel="0" collapsed="false">
      <c r="A24" s="4"/>
      <c r="B24" s="4" t="s">
        <v>4</v>
      </c>
      <c r="C24" s="4" t="s">
        <v>5</v>
      </c>
      <c r="D24" s="4" t="s">
        <v>18</v>
      </c>
      <c r="E24" s="4"/>
      <c r="F24" s="4"/>
      <c r="G24" s="4"/>
    </row>
    <row r="25" customFormat="false" ht="27.75" hidden="false" customHeight="true" outlineLevel="0" collapsed="false">
      <c r="A25" s="5" t="s">
        <v>29</v>
      </c>
      <c r="B25" s="13" t="n">
        <f aca="false">(1+B15)^-B16</f>
        <v>0.819409543047462</v>
      </c>
      <c r="C25" s="13" t="n">
        <f aca="false">(1+C15)^-C16</f>
        <v>0.869711920774215</v>
      </c>
      <c r="D25" s="7" t="s">
        <v>30</v>
      </c>
      <c r="E25" s="7"/>
      <c r="F25" s="7"/>
      <c r="G25" s="7"/>
    </row>
    <row r="26" customFormat="false" ht="27.75" hidden="false" customHeight="true" outlineLevel="0" collapsed="false">
      <c r="A26" s="5" t="s">
        <v>31</v>
      </c>
      <c r="B26" s="13" t="n">
        <f aca="false">(1-B25)/B15</f>
        <v>21.6708548343046</v>
      </c>
      <c r="C26" s="13" t="n">
        <f aca="false">(1-C25)/C15</f>
        <v>22.3350992958489</v>
      </c>
      <c r="D26" s="7" t="s">
        <v>32</v>
      </c>
      <c r="E26" s="7"/>
      <c r="F26" s="7"/>
      <c r="G26" s="7"/>
    </row>
    <row r="27" customFormat="false" ht="27.75" hidden="false" customHeight="true" outlineLevel="0" collapsed="false">
      <c r="A27" s="5" t="s">
        <v>33</v>
      </c>
      <c r="B27" s="12" t="n">
        <f aca="false">B21/B26</f>
        <v>230.724631687583</v>
      </c>
      <c r="C27" s="12" t="n">
        <f aca="false">C21/C26</f>
        <v>228.340153426041</v>
      </c>
      <c r="D27" s="7" t="s">
        <v>34</v>
      </c>
      <c r="E27" s="7"/>
      <c r="F27" s="7"/>
      <c r="G27" s="7"/>
    </row>
    <row r="28" customFormat="false" ht="48" hidden="false" customHeight="true" outlineLevel="0" collapsed="false">
      <c r="A28" s="5" t="s">
        <v>35</v>
      </c>
      <c r="B28" s="12" t="n">
        <f aca="false">PMT(B15,B16,-B21)</f>
        <v>230.724631687583</v>
      </c>
      <c r="C28" s="12" t="n">
        <f aca="false">PMT(C15,C16,-C21)</f>
        <v>228.340153426042</v>
      </c>
      <c r="D28" s="7" t="s">
        <v>36</v>
      </c>
      <c r="E28" s="7"/>
      <c r="F28" s="7"/>
      <c r="G28" s="7"/>
    </row>
    <row r="29" customFormat="false" ht="27.75" hidden="false" customHeight="true" outlineLevel="0" collapsed="false">
      <c r="A29" s="5" t="s">
        <v>37</v>
      </c>
      <c r="B29" s="12" t="n">
        <f aca="false">ROUND(B27-B28,8)</f>
        <v>0</v>
      </c>
      <c r="C29" s="12" t="n">
        <f aca="false">ROUND(C27-C28,8)</f>
        <v>-0</v>
      </c>
      <c r="D29" s="7"/>
      <c r="E29" s="7"/>
      <c r="F29" s="7"/>
      <c r="G29" s="7"/>
    </row>
    <row r="31" customFormat="false" ht="15" hidden="false" customHeight="false" outlineLevel="0" collapsed="false">
      <c r="A31" s="3" t="s">
        <v>38</v>
      </c>
    </row>
    <row r="32" customFormat="false" ht="42" hidden="false" customHeight="true" outlineLevel="0" collapsed="false">
      <c r="A32" s="2" t="s">
        <v>39</v>
      </c>
      <c r="B32" s="2"/>
      <c r="C32" s="2"/>
      <c r="D32" s="2"/>
      <c r="E32" s="2"/>
      <c r="F32" s="2"/>
      <c r="G32" s="2"/>
      <c r="H32" s="2"/>
      <c r="I32" s="2"/>
      <c r="J32" s="2"/>
      <c r="K32" s="2"/>
      <c r="L32" s="2"/>
      <c r="M32" s="2"/>
      <c r="N32" s="2"/>
      <c r="O32" s="2"/>
      <c r="P32" s="2"/>
    </row>
    <row r="33" customFormat="false" ht="15.75" hidden="false" customHeight="true" outlineLevel="0" collapsed="false">
      <c r="B33" s="14" t="s">
        <v>4</v>
      </c>
      <c r="C33" s="14"/>
      <c r="D33" s="14"/>
      <c r="E33" s="14"/>
      <c r="F33" s="14"/>
      <c r="G33" s="14"/>
      <c r="H33" s="14"/>
      <c r="J33" s="14" t="s">
        <v>5</v>
      </c>
      <c r="K33" s="14"/>
      <c r="L33" s="14"/>
      <c r="M33" s="14"/>
      <c r="N33" s="14"/>
      <c r="O33" s="14"/>
      <c r="P33" s="14"/>
    </row>
    <row r="34" customFormat="false" ht="27.75" hidden="false" customHeight="true" outlineLevel="0" collapsed="false">
      <c r="B34" s="4" t="s">
        <v>40</v>
      </c>
      <c r="C34" s="4" t="s">
        <v>41</v>
      </c>
      <c r="D34" s="4" t="s">
        <v>42</v>
      </c>
      <c r="E34" s="4" t="s">
        <v>43</v>
      </c>
      <c r="F34" s="4" t="s">
        <v>44</v>
      </c>
      <c r="G34" s="4" t="s">
        <v>45</v>
      </c>
      <c r="H34" s="4" t="s">
        <v>46</v>
      </c>
      <c r="J34" s="4" t="s">
        <v>40</v>
      </c>
      <c r="K34" s="4" t="s">
        <v>41</v>
      </c>
      <c r="L34" s="4" t="s">
        <v>42</v>
      </c>
      <c r="M34" s="4" t="s">
        <v>43</v>
      </c>
      <c r="N34" s="4" t="s">
        <v>44</v>
      </c>
      <c r="O34" s="4" t="s">
        <v>45</v>
      </c>
      <c r="P34" s="4" t="s">
        <v>46</v>
      </c>
    </row>
    <row r="35" customFormat="false" ht="15" hidden="false" customHeight="false" outlineLevel="0" collapsed="false">
      <c r="B35" s="15" t="n">
        <v>0</v>
      </c>
      <c r="C35" s="16"/>
      <c r="D35" s="16"/>
      <c r="E35" s="16"/>
      <c r="F35" s="16"/>
      <c r="G35" s="12" t="n">
        <f aca="false">$B$21</f>
        <v>5000</v>
      </c>
      <c r="H35" s="12" t="n">
        <f aca="false">$B$7</f>
        <v>5000</v>
      </c>
      <c r="J35" s="15" t="n">
        <v>0</v>
      </c>
      <c r="K35" s="16"/>
      <c r="L35" s="16"/>
      <c r="M35" s="16"/>
      <c r="N35" s="16"/>
      <c r="O35" s="12" t="n">
        <f aca="false">$C$21</f>
        <v>5100</v>
      </c>
      <c r="P35" s="12" t="n">
        <f aca="false">$C$7</f>
        <v>5000</v>
      </c>
    </row>
    <row r="36" customFormat="false" ht="15" hidden="false" customHeight="false" outlineLevel="0" collapsed="false">
      <c r="B36" s="15" t="n">
        <f aca="false">B35+1</f>
        <v>1</v>
      </c>
      <c r="C36" s="12" t="n">
        <f aca="false">G35</f>
        <v>5000</v>
      </c>
      <c r="D36" s="12" t="n">
        <f aca="false">C36*$B$15</f>
        <v>41.6666666666667</v>
      </c>
      <c r="E36" s="12" t="n">
        <f aca="false">IF(B36&lt;$B$16,$B$27,C36+D36)</f>
        <v>230.724631687583</v>
      </c>
      <c r="F36" s="12" t="n">
        <f aca="false">E36-D36</f>
        <v>189.057965020917</v>
      </c>
      <c r="G36" s="12" t="n">
        <f aca="false">C36-F36</f>
        <v>4810.94203497908</v>
      </c>
      <c r="H36" s="12" t="n">
        <f aca="false">-E36</f>
        <v>-230.724631687583</v>
      </c>
      <c r="J36" s="15" t="n">
        <f aca="false">J35+1</f>
        <v>1</v>
      </c>
      <c r="K36" s="12" t="n">
        <f aca="false">O35</f>
        <v>5100</v>
      </c>
      <c r="L36" s="12" t="n">
        <f aca="false">K36*$C$15</f>
        <v>29.75</v>
      </c>
      <c r="M36" s="12" t="n">
        <f aca="false">IF(J36&lt;$C$16,$C$27,K36+L36)</f>
        <v>228.340153426041</v>
      </c>
      <c r="N36" s="12" t="n">
        <f aca="false">M36-L36</f>
        <v>198.590153426041</v>
      </c>
      <c r="O36" s="12" t="n">
        <f aca="false">K36-N36</f>
        <v>4901.40984657396</v>
      </c>
      <c r="P36" s="12" t="n">
        <f aca="false">-M36</f>
        <v>-228.340153426041</v>
      </c>
    </row>
    <row r="37" customFormat="false" ht="15" hidden="false" customHeight="false" outlineLevel="0" collapsed="false">
      <c r="B37" s="15" t="n">
        <f aca="false">B36+1</f>
        <v>2</v>
      </c>
      <c r="C37" s="12" t="n">
        <f aca="false">G36</f>
        <v>4810.94203497908</v>
      </c>
      <c r="D37" s="12" t="n">
        <f aca="false">C37*$B$15</f>
        <v>40.0911836248257</v>
      </c>
      <c r="E37" s="12" t="n">
        <f aca="false">IF(B37&lt;$B$16,$B$27,C37+D37)</f>
        <v>230.724631687583</v>
      </c>
      <c r="F37" s="12" t="n">
        <f aca="false">E37-D37</f>
        <v>190.633448062758</v>
      </c>
      <c r="G37" s="12" t="n">
        <f aca="false">C37-F37</f>
        <v>4620.30858691633</v>
      </c>
      <c r="H37" s="12" t="n">
        <f aca="false">-E37</f>
        <v>-230.724631687583</v>
      </c>
      <c r="J37" s="15" t="n">
        <f aca="false">J36+1</f>
        <v>2</v>
      </c>
      <c r="K37" s="12" t="n">
        <f aca="false">O36</f>
        <v>4901.40984657396</v>
      </c>
      <c r="L37" s="12" t="n">
        <f aca="false">K37*$C$15</f>
        <v>28.5915574383481</v>
      </c>
      <c r="M37" s="12" t="n">
        <f aca="false">IF(J37&lt;$C$16,$C$27,K37+L37)</f>
        <v>228.340153426041</v>
      </c>
      <c r="N37" s="12" t="n">
        <f aca="false">M37-L37</f>
        <v>199.748595987693</v>
      </c>
      <c r="O37" s="12" t="n">
        <f aca="false">K37-N37</f>
        <v>4701.66125058627</v>
      </c>
      <c r="P37" s="12" t="n">
        <f aca="false">-M37</f>
        <v>-228.340153426041</v>
      </c>
    </row>
    <row r="38" customFormat="false" ht="15" hidden="false" customHeight="false" outlineLevel="0" collapsed="false">
      <c r="B38" s="15" t="n">
        <f aca="false">B37+1</f>
        <v>3</v>
      </c>
      <c r="C38" s="12" t="n">
        <f aca="false">G37</f>
        <v>4620.30858691633</v>
      </c>
      <c r="D38" s="12" t="n">
        <f aca="false">C38*$B$15</f>
        <v>38.5025715576361</v>
      </c>
      <c r="E38" s="12" t="n">
        <f aca="false">IF(B38&lt;$B$16,$B$27,C38+D38)</f>
        <v>230.724631687583</v>
      </c>
      <c r="F38" s="12" t="n">
        <f aca="false">E38-D38</f>
        <v>192.222060129947</v>
      </c>
      <c r="G38" s="12" t="n">
        <f aca="false">C38-F38</f>
        <v>4428.08652678638</v>
      </c>
      <c r="H38" s="12" t="n">
        <f aca="false">-E38</f>
        <v>-230.724631687583</v>
      </c>
      <c r="J38" s="15" t="n">
        <f aca="false">J37+1</f>
        <v>3</v>
      </c>
      <c r="K38" s="12" t="n">
        <f aca="false">O37</f>
        <v>4701.66125058627</v>
      </c>
      <c r="L38" s="12" t="n">
        <f aca="false">K38*$C$15</f>
        <v>27.4263572950866</v>
      </c>
      <c r="M38" s="12" t="n">
        <f aca="false">IF(J38&lt;$C$16,$C$27,K38+L38)</f>
        <v>228.340153426041</v>
      </c>
      <c r="N38" s="12" t="n">
        <f aca="false">M38-L38</f>
        <v>200.913796130954</v>
      </c>
      <c r="O38" s="12" t="n">
        <f aca="false">K38-N38</f>
        <v>4500.74745445531</v>
      </c>
      <c r="P38" s="12" t="n">
        <f aca="false">-M38</f>
        <v>-228.340153426041</v>
      </c>
    </row>
    <row r="39" customFormat="false" ht="15" hidden="false" customHeight="false" outlineLevel="0" collapsed="false">
      <c r="B39" s="15" t="n">
        <f aca="false">B38+1</f>
        <v>4</v>
      </c>
      <c r="C39" s="12" t="n">
        <f aca="false">G38</f>
        <v>4428.08652678638</v>
      </c>
      <c r="D39" s="12" t="n">
        <f aca="false">C39*$B$15</f>
        <v>36.9007210565532</v>
      </c>
      <c r="E39" s="12" t="n">
        <f aca="false">IF(B39&lt;$B$16,$B$27,C39+D39)</f>
        <v>230.724631687583</v>
      </c>
      <c r="F39" s="12" t="n">
        <f aca="false">E39-D39</f>
        <v>193.82391063103</v>
      </c>
      <c r="G39" s="12" t="n">
        <f aca="false">C39-F39</f>
        <v>4234.26261615535</v>
      </c>
      <c r="H39" s="12" t="n">
        <f aca="false">-E39</f>
        <v>-230.724631687583</v>
      </c>
      <c r="J39" s="15" t="n">
        <f aca="false">J38+1</f>
        <v>4</v>
      </c>
      <c r="K39" s="12" t="n">
        <f aca="false">O38</f>
        <v>4500.74745445531</v>
      </c>
      <c r="L39" s="12" t="n">
        <f aca="false">K39*$C$15</f>
        <v>26.2543601509893</v>
      </c>
      <c r="M39" s="12" t="n">
        <f aca="false">IF(J39&lt;$C$16,$C$27,K39+L39)</f>
        <v>228.340153426041</v>
      </c>
      <c r="N39" s="12" t="n">
        <f aca="false">M39-L39</f>
        <v>202.085793275051</v>
      </c>
      <c r="O39" s="12" t="n">
        <f aca="false">K39-N39</f>
        <v>4298.66166118026</v>
      </c>
      <c r="P39" s="12" t="n">
        <f aca="false">-M39</f>
        <v>-228.340153426041</v>
      </c>
    </row>
    <row r="40" customFormat="false" ht="15" hidden="false" customHeight="false" outlineLevel="0" collapsed="false">
      <c r="B40" s="15" t="n">
        <f aca="false">B39+1</f>
        <v>5</v>
      </c>
      <c r="C40" s="12" t="n">
        <f aca="false">G39</f>
        <v>4234.26261615535</v>
      </c>
      <c r="D40" s="12" t="n">
        <f aca="false">C40*$B$15</f>
        <v>35.2855218012946</v>
      </c>
      <c r="E40" s="12" t="n">
        <f aca="false">IF(B40&lt;$B$16,$B$27,C40+D40)</f>
        <v>230.724631687583</v>
      </c>
      <c r="F40" s="12" t="n">
        <f aca="false">E40-D40</f>
        <v>195.439109886289</v>
      </c>
      <c r="G40" s="12" t="n">
        <f aca="false">C40-F40</f>
        <v>4038.82350626906</v>
      </c>
      <c r="H40" s="12" t="n">
        <f aca="false">-E40</f>
        <v>-230.724631687583</v>
      </c>
      <c r="J40" s="15" t="n">
        <f aca="false">J39+1</f>
        <v>5</v>
      </c>
      <c r="K40" s="12" t="n">
        <f aca="false">O39</f>
        <v>4298.66166118026</v>
      </c>
      <c r="L40" s="12" t="n">
        <f aca="false">K40*$C$15</f>
        <v>25.0755263568849</v>
      </c>
      <c r="M40" s="12" t="n">
        <f aca="false">IF(J40&lt;$C$16,$C$27,K40+L40)</f>
        <v>228.340153426041</v>
      </c>
      <c r="N40" s="12" t="n">
        <f aca="false">M40-L40</f>
        <v>203.264627069156</v>
      </c>
      <c r="O40" s="12" t="n">
        <f aca="false">K40-N40</f>
        <v>4095.39703411111</v>
      </c>
      <c r="P40" s="12" t="n">
        <f aca="false">-M40</f>
        <v>-228.340153426041</v>
      </c>
    </row>
    <row r="41" customFormat="false" ht="15" hidden="false" customHeight="false" outlineLevel="0" collapsed="false">
      <c r="B41" s="15" t="n">
        <f aca="false">B40+1</f>
        <v>6</v>
      </c>
      <c r="C41" s="12" t="n">
        <f aca="false">G40</f>
        <v>4038.82350626906</v>
      </c>
      <c r="D41" s="12" t="n">
        <f aca="false">C41*$B$15</f>
        <v>33.6568625522422</v>
      </c>
      <c r="E41" s="12" t="n">
        <f aca="false">IF(B41&lt;$B$16,$B$27,C41+D41)</f>
        <v>230.724631687583</v>
      </c>
      <c r="F41" s="12" t="n">
        <f aca="false">E41-D41</f>
        <v>197.067769135341</v>
      </c>
      <c r="G41" s="12" t="n">
        <f aca="false">C41-F41</f>
        <v>3841.75573713372</v>
      </c>
      <c r="H41" s="12" t="n">
        <f aca="false">-E41</f>
        <v>-230.724631687583</v>
      </c>
      <c r="J41" s="15" t="n">
        <f aca="false">J40+1</f>
        <v>6</v>
      </c>
      <c r="K41" s="12" t="n">
        <f aca="false">O40</f>
        <v>4095.39703411111</v>
      </c>
      <c r="L41" s="12" t="n">
        <f aca="false">K41*$C$15</f>
        <v>23.8898160323148</v>
      </c>
      <c r="M41" s="12" t="n">
        <f aca="false">IF(J41&lt;$C$16,$C$27,K41+L41)</f>
        <v>228.340153426041</v>
      </c>
      <c r="N41" s="12" t="n">
        <f aca="false">M41-L41</f>
        <v>204.450337393726</v>
      </c>
      <c r="O41" s="12" t="n">
        <f aca="false">K41-N41</f>
        <v>3890.94669671738</v>
      </c>
      <c r="P41" s="12" t="n">
        <f aca="false">-M41</f>
        <v>-228.340153426041</v>
      </c>
    </row>
    <row r="42" customFormat="false" ht="15" hidden="false" customHeight="false" outlineLevel="0" collapsed="false">
      <c r="B42" s="15" t="n">
        <f aca="false">B41+1</f>
        <v>7</v>
      </c>
      <c r="C42" s="12" t="n">
        <f aca="false">G41</f>
        <v>3841.75573713372</v>
      </c>
      <c r="D42" s="12" t="n">
        <f aca="false">C42*$B$15</f>
        <v>32.014631142781</v>
      </c>
      <c r="E42" s="12" t="n">
        <f aca="false">IF(B42&lt;$B$16,$B$27,C42+D42)</f>
        <v>230.724631687583</v>
      </c>
      <c r="F42" s="12" t="n">
        <f aca="false">E42-D42</f>
        <v>198.710000544802</v>
      </c>
      <c r="G42" s="12" t="n">
        <f aca="false">C42-F42</f>
        <v>3643.04573658892</v>
      </c>
      <c r="H42" s="12" t="n">
        <f aca="false">-E42</f>
        <v>-230.724631687583</v>
      </c>
      <c r="J42" s="15" t="n">
        <f aca="false">J41+1</f>
        <v>7</v>
      </c>
      <c r="K42" s="12" t="n">
        <f aca="false">O41</f>
        <v>3890.94669671738</v>
      </c>
      <c r="L42" s="12" t="n">
        <f aca="false">K42*$C$15</f>
        <v>22.6971890641847</v>
      </c>
      <c r="M42" s="12" t="n">
        <f aca="false">IF(J42&lt;$C$16,$C$27,K42+L42)</f>
        <v>228.340153426041</v>
      </c>
      <c r="N42" s="12" t="n">
        <f aca="false">M42-L42</f>
        <v>205.642964361856</v>
      </c>
      <c r="O42" s="12" t="n">
        <f aca="false">K42-N42</f>
        <v>3685.30373235552</v>
      </c>
      <c r="P42" s="12" t="n">
        <f aca="false">-M42</f>
        <v>-228.340153426041</v>
      </c>
    </row>
    <row r="43" customFormat="false" ht="15" hidden="false" customHeight="false" outlineLevel="0" collapsed="false">
      <c r="B43" s="15" t="n">
        <f aca="false">B42+1</f>
        <v>8</v>
      </c>
      <c r="C43" s="12" t="n">
        <f aca="false">G42</f>
        <v>3643.04573658892</v>
      </c>
      <c r="D43" s="12" t="n">
        <f aca="false">C43*$B$15</f>
        <v>30.3587144715743</v>
      </c>
      <c r="E43" s="12" t="n">
        <f aca="false">IF(B43&lt;$B$16,$B$27,C43+D43)</f>
        <v>230.724631687583</v>
      </c>
      <c r="F43" s="12" t="n">
        <f aca="false">E43-D43</f>
        <v>200.365917216009</v>
      </c>
      <c r="G43" s="12" t="n">
        <f aca="false">C43-F43</f>
        <v>3442.67981937291</v>
      </c>
      <c r="H43" s="12" t="n">
        <f aca="false">-E43</f>
        <v>-230.724631687583</v>
      </c>
      <c r="J43" s="15" t="n">
        <f aca="false">J42+1</f>
        <v>8</v>
      </c>
      <c r="K43" s="12" t="n">
        <f aca="false">O42</f>
        <v>3685.30373235552</v>
      </c>
      <c r="L43" s="12" t="n">
        <f aca="false">K43*$C$15</f>
        <v>21.4976051054072</v>
      </c>
      <c r="M43" s="12" t="n">
        <f aca="false">IF(J43&lt;$C$16,$C$27,K43+L43)</f>
        <v>228.340153426041</v>
      </c>
      <c r="N43" s="12" t="n">
        <f aca="false">M43-L43</f>
        <v>206.842548320634</v>
      </c>
      <c r="O43" s="12" t="n">
        <f aca="false">K43-N43</f>
        <v>3478.46118403489</v>
      </c>
      <c r="P43" s="12" t="n">
        <f aca="false">-M43</f>
        <v>-228.340153426041</v>
      </c>
    </row>
    <row r="44" customFormat="false" ht="15" hidden="false" customHeight="false" outlineLevel="0" collapsed="false">
      <c r="B44" s="15" t="n">
        <f aca="false">B43+1</f>
        <v>9</v>
      </c>
      <c r="C44" s="12" t="n">
        <f aca="false">G43</f>
        <v>3442.67981937291</v>
      </c>
      <c r="D44" s="12" t="n">
        <f aca="false">C44*$B$15</f>
        <v>28.6889984947742</v>
      </c>
      <c r="E44" s="12" t="n">
        <f aca="false">IF(B44&lt;$B$16,$B$27,C44+D44)</f>
        <v>230.724631687583</v>
      </c>
      <c r="F44" s="12" t="n">
        <f aca="false">E44-D44</f>
        <v>202.035633192809</v>
      </c>
      <c r="G44" s="12" t="n">
        <f aca="false">C44-F44</f>
        <v>3240.6441861801</v>
      </c>
      <c r="H44" s="12" t="n">
        <f aca="false">-E44</f>
        <v>-230.724631687583</v>
      </c>
      <c r="J44" s="15" t="n">
        <f aca="false">J43+1</f>
        <v>9</v>
      </c>
      <c r="K44" s="12" t="n">
        <f aca="false">O43</f>
        <v>3478.46118403489</v>
      </c>
      <c r="L44" s="12" t="n">
        <f aca="false">K44*$C$15</f>
        <v>20.2910235735369</v>
      </c>
      <c r="M44" s="12" t="n">
        <f aca="false">IF(J44&lt;$C$16,$C$27,K44+L44)</f>
        <v>228.340153426041</v>
      </c>
      <c r="N44" s="12" t="n">
        <f aca="false">M44-L44</f>
        <v>208.049129852504</v>
      </c>
      <c r="O44" s="12" t="n">
        <f aca="false">K44-N44</f>
        <v>3270.41205418239</v>
      </c>
      <c r="P44" s="12" t="n">
        <f aca="false">-M44</f>
        <v>-228.340153426041</v>
      </c>
    </row>
    <row r="45" customFormat="false" ht="15" hidden="false" customHeight="false" outlineLevel="0" collapsed="false">
      <c r="B45" s="15" t="n">
        <f aca="false">B44+1</f>
        <v>10</v>
      </c>
      <c r="C45" s="12" t="n">
        <f aca="false">G44</f>
        <v>3240.6441861801</v>
      </c>
      <c r="D45" s="12" t="n">
        <f aca="false">C45*$B$15</f>
        <v>27.0053682181675</v>
      </c>
      <c r="E45" s="12" t="n">
        <f aca="false">IF(B45&lt;$B$16,$B$27,C45+D45)</f>
        <v>230.724631687583</v>
      </c>
      <c r="F45" s="12" t="n">
        <f aca="false">E45-D45</f>
        <v>203.719263469416</v>
      </c>
      <c r="G45" s="12" t="n">
        <f aca="false">C45-F45</f>
        <v>3036.92492271068</v>
      </c>
      <c r="H45" s="12" t="n">
        <f aca="false">-E45</f>
        <v>-230.724631687583</v>
      </c>
      <c r="J45" s="15" t="n">
        <f aca="false">J44+1</f>
        <v>10</v>
      </c>
      <c r="K45" s="12" t="n">
        <f aca="false">O44</f>
        <v>3270.41205418239</v>
      </c>
      <c r="L45" s="12" t="n">
        <f aca="false">K45*$C$15</f>
        <v>19.0774036493973</v>
      </c>
      <c r="M45" s="12" t="n">
        <f aca="false">IF(J45&lt;$C$16,$C$27,K45+L45)</f>
        <v>228.340153426041</v>
      </c>
      <c r="N45" s="12" t="n">
        <f aca="false">M45-L45</f>
        <v>209.262749776644</v>
      </c>
      <c r="O45" s="12" t="n">
        <f aca="false">K45-N45</f>
        <v>3061.14930440574</v>
      </c>
      <c r="P45" s="12" t="n">
        <f aca="false">-M45</f>
        <v>-228.340153426041</v>
      </c>
    </row>
    <row r="46" customFormat="false" ht="15" hidden="false" customHeight="false" outlineLevel="0" collapsed="false">
      <c r="B46" s="15" t="n">
        <f aca="false">B45+1</f>
        <v>11</v>
      </c>
      <c r="C46" s="12" t="n">
        <f aca="false">G45</f>
        <v>3036.92492271068</v>
      </c>
      <c r="D46" s="12" t="n">
        <f aca="false">C46*$B$15</f>
        <v>25.3077076892557</v>
      </c>
      <c r="E46" s="12" t="n">
        <f aca="false">IF(B46&lt;$B$16,$B$27,C46+D46)</f>
        <v>230.724631687583</v>
      </c>
      <c r="F46" s="12" t="n">
        <f aca="false">E46-D46</f>
        <v>205.416923998328</v>
      </c>
      <c r="G46" s="12" t="n">
        <f aca="false">C46-F46</f>
        <v>2831.50799871236</v>
      </c>
      <c r="H46" s="12" t="n">
        <f aca="false">-E46</f>
        <v>-230.724631687583</v>
      </c>
      <c r="J46" s="15" t="n">
        <f aca="false">J45+1</f>
        <v>11</v>
      </c>
      <c r="K46" s="12" t="n">
        <f aca="false">O45</f>
        <v>3061.14930440574</v>
      </c>
      <c r="L46" s="12" t="n">
        <f aca="false">K46*$C$15</f>
        <v>17.8567042757002</v>
      </c>
      <c r="M46" s="12" t="n">
        <f aca="false">IF(J46&lt;$C$16,$C$27,K46+L46)</f>
        <v>228.340153426041</v>
      </c>
      <c r="N46" s="12" t="n">
        <f aca="false">M46-L46</f>
        <v>210.483449150341</v>
      </c>
      <c r="O46" s="12" t="n">
        <f aca="false">K46-N46</f>
        <v>2850.6658552554</v>
      </c>
      <c r="P46" s="12" t="n">
        <f aca="false">-M46</f>
        <v>-228.340153426041</v>
      </c>
    </row>
    <row r="47" customFormat="false" ht="15" hidden="false" customHeight="false" outlineLevel="0" collapsed="false">
      <c r="B47" s="15" t="n">
        <f aca="false">B46+1</f>
        <v>12</v>
      </c>
      <c r="C47" s="12" t="n">
        <f aca="false">G46</f>
        <v>2831.50799871236</v>
      </c>
      <c r="D47" s="12" t="n">
        <f aca="false">C47*$B$15</f>
        <v>23.5958999892696</v>
      </c>
      <c r="E47" s="12" t="n">
        <f aca="false">IF(B47&lt;$B$16,$B$27,C47+D47)</f>
        <v>230.724631687583</v>
      </c>
      <c r="F47" s="12" t="n">
        <f aca="false">E47-D47</f>
        <v>207.128731698314</v>
      </c>
      <c r="G47" s="12" t="n">
        <f aca="false">C47-F47</f>
        <v>2624.37926701404</v>
      </c>
      <c r="H47" s="12" t="n">
        <f aca="false">-E47</f>
        <v>-230.724631687583</v>
      </c>
      <c r="J47" s="15" t="n">
        <f aca="false">J46+1</f>
        <v>12</v>
      </c>
      <c r="K47" s="12" t="n">
        <f aca="false">O46</f>
        <v>2850.6658552554</v>
      </c>
      <c r="L47" s="12" t="n">
        <f aca="false">K47*$C$15</f>
        <v>16.6288841556565</v>
      </c>
      <c r="M47" s="12" t="n">
        <f aca="false">IF(J47&lt;$C$16,$C$27,K47+L47)</f>
        <v>228.340153426041</v>
      </c>
      <c r="N47" s="12" t="n">
        <f aca="false">M47-L47</f>
        <v>211.711269270384</v>
      </c>
      <c r="O47" s="12" t="n">
        <f aca="false">K47-N47</f>
        <v>2638.95458598502</v>
      </c>
      <c r="P47" s="12" t="n">
        <f aca="false">-M47</f>
        <v>-228.340153426041</v>
      </c>
    </row>
    <row r="48" customFormat="false" ht="15" hidden="false" customHeight="false" outlineLevel="0" collapsed="false">
      <c r="B48" s="15" t="n">
        <f aca="false">B47+1</f>
        <v>13</v>
      </c>
      <c r="C48" s="12" t="n">
        <f aca="false">G47</f>
        <v>2624.37926701404</v>
      </c>
      <c r="D48" s="12" t="n">
        <f aca="false">C48*$B$15</f>
        <v>21.869827225117</v>
      </c>
      <c r="E48" s="12" t="n">
        <f aca="false">IF(B48&lt;$B$16,$B$27,C48+D48)</f>
        <v>230.724631687583</v>
      </c>
      <c r="F48" s="12" t="n">
        <f aca="false">E48-D48</f>
        <v>208.854804462466</v>
      </c>
      <c r="G48" s="12" t="n">
        <f aca="false">C48-F48</f>
        <v>2415.52446255158</v>
      </c>
      <c r="H48" s="12" t="n">
        <f aca="false">-E48</f>
        <v>-230.724631687583</v>
      </c>
      <c r="J48" s="15" t="n">
        <f aca="false">J47+1</f>
        <v>13</v>
      </c>
      <c r="K48" s="12" t="n">
        <f aca="false">O47</f>
        <v>2638.95458598502</v>
      </c>
      <c r="L48" s="12" t="n">
        <f aca="false">K48*$C$15</f>
        <v>15.3939017515793</v>
      </c>
      <c r="M48" s="12" t="n">
        <f aca="false">IF(J48&lt;$C$16,$C$27,K48+L48)</f>
        <v>228.340153426041</v>
      </c>
      <c r="N48" s="12" t="n">
        <f aca="false">M48-L48</f>
        <v>212.946251674461</v>
      </c>
      <c r="O48" s="12" t="n">
        <f aca="false">K48-N48</f>
        <v>2426.00833431056</v>
      </c>
      <c r="P48" s="12" t="n">
        <f aca="false">-M48</f>
        <v>-228.340153426041</v>
      </c>
    </row>
    <row r="49" customFormat="false" ht="15" hidden="false" customHeight="false" outlineLevel="0" collapsed="false">
      <c r="B49" s="15" t="n">
        <f aca="false">B48+1</f>
        <v>14</v>
      </c>
      <c r="C49" s="12" t="n">
        <f aca="false">G48</f>
        <v>2415.52446255158</v>
      </c>
      <c r="D49" s="12" t="n">
        <f aca="false">C49*$B$15</f>
        <v>20.1293705212631</v>
      </c>
      <c r="E49" s="12" t="n">
        <f aca="false">IF(B49&lt;$B$16,$B$27,C49+D49)</f>
        <v>230.724631687583</v>
      </c>
      <c r="F49" s="12" t="n">
        <f aca="false">E49-D49</f>
        <v>210.59526116632</v>
      </c>
      <c r="G49" s="12" t="n">
        <f aca="false">C49-F49</f>
        <v>2204.92920138526</v>
      </c>
      <c r="H49" s="12" t="n">
        <f aca="false">-E49</f>
        <v>-230.724631687583</v>
      </c>
      <c r="J49" s="15" t="n">
        <f aca="false">J48+1</f>
        <v>14</v>
      </c>
      <c r="K49" s="12" t="n">
        <f aca="false">O48</f>
        <v>2426.00833431056</v>
      </c>
      <c r="L49" s="12" t="n">
        <f aca="false">K49*$C$15</f>
        <v>14.1517152834782</v>
      </c>
      <c r="M49" s="12" t="n">
        <f aca="false">IF(J49&lt;$C$16,$C$27,K49+L49)</f>
        <v>228.340153426041</v>
      </c>
      <c r="N49" s="12" t="n">
        <f aca="false">M49-L49</f>
        <v>214.188438142563</v>
      </c>
      <c r="O49" s="12" t="n">
        <f aca="false">K49-N49</f>
        <v>2211.81989616799</v>
      </c>
      <c r="P49" s="12" t="n">
        <f aca="false">-M49</f>
        <v>-228.340153426041</v>
      </c>
    </row>
    <row r="50" customFormat="false" ht="15" hidden="false" customHeight="false" outlineLevel="0" collapsed="false">
      <c r="B50" s="15" t="n">
        <f aca="false">B49+1</f>
        <v>15</v>
      </c>
      <c r="C50" s="12" t="n">
        <f aca="false">G49</f>
        <v>2204.92920138526</v>
      </c>
      <c r="D50" s="12" t="n">
        <f aca="false">C50*$B$15</f>
        <v>18.3744100115438</v>
      </c>
      <c r="E50" s="12" t="n">
        <f aca="false">IF(B50&lt;$B$16,$B$27,C50+D50)</f>
        <v>230.724631687583</v>
      </c>
      <c r="F50" s="12" t="n">
        <f aca="false">E50-D50</f>
        <v>212.350221676039</v>
      </c>
      <c r="G50" s="12" t="n">
        <f aca="false">C50-F50</f>
        <v>1992.57897970922</v>
      </c>
      <c r="H50" s="12" t="n">
        <f aca="false">-E50</f>
        <v>-230.724631687583</v>
      </c>
      <c r="J50" s="15" t="n">
        <f aca="false">J49+1</f>
        <v>15</v>
      </c>
      <c r="K50" s="12" t="n">
        <f aca="false">O49</f>
        <v>2211.81989616799</v>
      </c>
      <c r="L50" s="12" t="n">
        <f aca="false">K50*$C$15</f>
        <v>12.9022827276466</v>
      </c>
      <c r="M50" s="12" t="n">
        <f aca="false">IF(J50&lt;$C$16,$C$27,K50+L50)</f>
        <v>228.340153426041</v>
      </c>
      <c r="N50" s="12" t="n">
        <f aca="false">M50-L50</f>
        <v>215.437870698394</v>
      </c>
      <c r="O50" s="12" t="n">
        <f aca="false">K50-N50</f>
        <v>1996.3820254696</v>
      </c>
      <c r="P50" s="12" t="n">
        <f aca="false">-M50</f>
        <v>-228.340153426041</v>
      </c>
    </row>
    <row r="51" customFormat="false" ht="15" hidden="false" customHeight="false" outlineLevel="0" collapsed="false">
      <c r="B51" s="15" t="n">
        <f aca="false">B50+1</f>
        <v>16</v>
      </c>
      <c r="C51" s="12" t="n">
        <f aca="false">G50</f>
        <v>1992.57897970922</v>
      </c>
      <c r="D51" s="12" t="n">
        <f aca="false">C51*$B$15</f>
        <v>16.6048248309101</v>
      </c>
      <c r="E51" s="12" t="n">
        <f aca="false">IF(B51&lt;$B$16,$B$27,C51+D51)</f>
        <v>230.724631687583</v>
      </c>
      <c r="F51" s="12" t="n">
        <f aca="false">E51-D51</f>
        <v>214.119806856673</v>
      </c>
      <c r="G51" s="12" t="n">
        <f aca="false">C51-F51</f>
        <v>1778.45917285254</v>
      </c>
      <c r="H51" s="12" t="n">
        <f aca="false">-E51</f>
        <v>-230.724631687583</v>
      </c>
      <c r="J51" s="15" t="n">
        <f aca="false">J50+1</f>
        <v>16</v>
      </c>
      <c r="K51" s="12" t="n">
        <f aca="false">O50</f>
        <v>1996.3820254696</v>
      </c>
      <c r="L51" s="12" t="n">
        <f aca="false">K51*$C$15</f>
        <v>11.6455618152393</v>
      </c>
      <c r="M51" s="12" t="n">
        <f aca="false">IF(J51&lt;$C$16,$C$27,K51+L51)</f>
        <v>228.340153426041</v>
      </c>
      <c r="N51" s="12" t="n">
        <f aca="false">M51-L51</f>
        <v>216.694591610801</v>
      </c>
      <c r="O51" s="12" t="n">
        <f aca="false">K51-N51</f>
        <v>1779.6874338588</v>
      </c>
      <c r="P51" s="12" t="n">
        <f aca="false">-M51</f>
        <v>-228.340153426041</v>
      </c>
    </row>
    <row r="52" customFormat="false" ht="15" hidden="false" customHeight="false" outlineLevel="0" collapsed="false">
      <c r="B52" s="15" t="n">
        <f aca="false">B51+1</f>
        <v>17</v>
      </c>
      <c r="C52" s="12" t="n">
        <f aca="false">G51</f>
        <v>1778.45917285254</v>
      </c>
      <c r="D52" s="12" t="n">
        <f aca="false">C52*$B$15</f>
        <v>14.8204931071045</v>
      </c>
      <c r="E52" s="12" t="n">
        <f aca="false">IF(B52&lt;$B$16,$B$27,C52+D52)</f>
        <v>230.724631687583</v>
      </c>
      <c r="F52" s="12" t="n">
        <f aca="false">E52-D52</f>
        <v>215.904138580479</v>
      </c>
      <c r="G52" s="12" t="n">
        <f aca="false">C52-F52</f>
        <v>1562.55503427206</v>
      </c>
      <c r="H52" s="12" t="n">
        <f aca="false">-E52</f>
        <v>-230.724631687583</v>
      </c>
      <c r="J52" s="15" t="n">
        <f aca="false">J51+1</f>
        <v>17</v>
      </c>
      <c r="K52" s="12" t="n">
        <f aca="false">O51</f>
        <v>1779.6874338588</v>
      </c>
      <c r="L52" s="12" t="n">
        <f aca="false">K52*$C$15</f>
        <v>10.381510030843</v>
      </c>
      <c r="M52" s="12" t="n">
        <f aca="false">IF(J52&lt;$C$16,$C$27,K52+L52)</f>
        <v>228.340153426041</v>
      </c>
      <c r="N52" s="12" t="n">
        <f aca="false">M52-L52</f>
        <v>217.958643395198</v>
      </c>
      <c r="O52" s="12" t="n">
        <f aca="false">K52-N52</f>
        <v>1561.7287904636</v>
      </c>
      <c r="P52" s="12" t="n">
        <f aca="false">-M52</f>
        <v>-228.340153426041</v>
      </c>
    </row>
    <row r="53" customFormat="false" ht="15" hidden="false" customHeight="false" outlineLevel="0" collapsed="false">
      <c r="B53" s="15" t="n">
        <f aca="false">B52+1</f>
        <v>18</v>
      </c>
      <c r="C53" s="12" t="n">
        <f aca="false">G52</f>
        <v>1562.55503427206</v>
      </c>
      <c r="D53" s="12" t="n">
        <f aca="false">C53*$B$15</f>
        <v>13.0212919522672</v>
      </c>
      <c r="E53" s="12" t="n">
        <f aca="false">IF(B53&lt;$B$16,$B$27,C53+D53)</f>
        <v>230.724631687583</v>
      </c>
      <c r="F53" s="12" t="n">
        <f aca="false">E53-D53</f>
        <v>217.703339735316</v>
      </c>
      <c r="G53" s="12" t="n">
        <f aca="false">C53-F53</f>
        <v>1344.85169453675</v>
      </c>
      <c r="H53" s="12" t="n">
        <f aca="false">-E53</f>
        <v>-230.724631687583</v>
      </c>
      <c r="J53" s="15" t="n">
        <f aca="false">J52+1</f>
        <v>18</v>
      </c>
      <c r="K53" s="12" t="n">
        <f aca="false">O52</f>
        <v>1561.7287904636</v>
      </c>
      <c r="L53" s="12" t="n">
        <f aca="false">K53*$C$15</f>
        <v>9.11008461103767</v>
      </c>
      <c r="M53" s="12" t="n">
        <f aca="false">IF(J53&lt;$C$16,$C$27,K53+L53)</f>
        <v>228.340153426041</v>
      </c>
      <c r="N53" s="12" t="n">
        <f aca="false">M53-L53</f>
        <v>219.230068815003</v>
      </c>
      <c r="O53" s="12" t="n">
        <f aca="false">K53-N53</f>
        <v>1342.4987216486</v>
      </c>
      <c r="P53" s="12" t="n">
        <f aca="false">-M53</f>
        <v>-228.340153426041</v>
      </c>
    </row>
    <row r="54" customFormat="false" ht="15" hidden="false" customHeight="false" outlineLevel="0" collapsed="false">
      <c r="B54" s="15" t="n">
        <f aca="false">B53+1</f>
        <v>19</v>
      </c>
      <c r="C54" s="12" t="n">
        <f aca="false">G53</f>
        <v>1344.85169453675</v>
      </c>
      <c r="D54" s="12" t="n">
        <f aca="false">C54*$B$15</f>
        <v>11.2070974544729</v>
      </c>
      <c r="E54" s="12" t="n">
        <f aca="false">IF(B54&lt;$B$16,$B$27,C54+D54)</f>
        <v>230.724631687583</v>
      </c>
      <c r="F54" s="12" t="n">
        <f aca="false">E54-D54</f>
        <v>219.51753423311</v>
      </c>
      <c r="G54" s="12" t="n">
        <f aca="false">C54-F54</f>
        <v>1125.33416030364</v>
      </c>
      <c r="H54" s="12" t="n">
        <f aca="false">-E54</f>
        <v>-230.724631687583</v>
      </c>
      <c r="J54" s="15" t="n">
        <f aca="false">J53+1</f>
        <v>19</v>
      </c>
      <c r="K54" s="12" t="n">
        <f aca="false">O53</f>
        <v>1342.4987216486</v>
      </c>
      <c r="L54" s="12" t="n">
        <f aca="false">K54*$C$15</f>
        <v>7.83124254295016</v>
      </c>
      <c r="M54" s="12" t="n">
        <f aca="false">IF(J54&lt;$C$16,$C$27,K54+L54)</f>
        <v>228.340153426041</v>
      </c>
      <c r="N54" s="12" t="n">
        <f aca="false">M54-L54</f>
        <v>220.508910883091</v>
      </c>
      <c r="O54" s="12" t="n">
        <f aca="false">K54-N54</f>
        <v>1121.98981076551</v>
      </c>
      <c r="P54" s="12" t="n">
        <f aca="false">-M54</f>
        <v>-228.340153426041</v>
      </c>
    </row>
    <row r="55" customFormat="false" ht="15" hidden="false" customHeight="false" outlineLevel="0" collapsed="false">
      <c r="B55" s="15" t="n">
        <f aca="false">B54+1</f>
        <v>20</v>
      </c>
      <c r="C55" s="12" t="n">
        <f aca="false">G54</f>
        <v>1125.33416030364</v>
      </c>
      <c r="D55" s="12" t="n">
        <f aca="false">C55*$B$15</f>
        <v>9.37778466919698</v>
      </c>
      <c r="E55" s="12" t="n">
        <f aca="false">IF(B55&lt;$B$16,$B$27,C55+D55)</f>
        <v>230.724631687583</v>
      </c>
      <c r="F55" s="12" t="n">
        <f aca="false">E55-D55</f>
        <v>221.346847018386</v>
      </c>
      <c r="G55" s="12" t="n">
        <f aca="false">C55-F55</f>
        <v>903.987313285252</v>
      </c>
      <c r="H55" s="12" t="n">
        <f aca="false">-E55</f>
        <v>-230.724631687583</v>
      </c>
      <c r="J55" s="15" t="n">
        <f aca="false">J54+1</f>
        <v>20</v>
      </c>
      <c r="K55" s="12" t="n">
        <f aca="false">O54</f>
        <v>1121.98981076551</v>
      </c>
      <c r="L55" s="12" t="n">
        <f aca="false">K55*$C$15</f>
        <v>6.54494056279879</v>
      </c>
      <c r="M55" s="12" t="n">
        <f aca="false">IF(J55&lt;$C$16,$C$27,K55+L55)</f>
        <v>228.340153426041</v>
      </c>
      <c r="N55" s="12" t="n">
        <f aca="false">M55-L55</f>
        <v>221.795212863242</v>
      </c>
      <c r="O55" s="12" t="n">
        <f aca="false">K55-N55</f>
        <v>900.194597902266</v>
      </c>
      <c r="P55" s="12" t="n">
        <f aca="false">-M55</f>
        <v>-228.340153426041</v>
      </c>
    </row>
    <row r="56" customFormat="false" ht="15" hidden="false" customHeight="false" outlineLevel="0" collapsed="false">
      <c r="B56" s="15" t="n">
        <f aca="false">B55+1</f>
        <v>21</v>
      </c>
      <c r="C56" s="12" t="n">
        <f aca="false">G55</f>
        <v>903.987313285252</v>
      </c>
      <c r="D56" s="12" t="n">
        <f aca="false">C56*$B$15</f>
        <v>7.53322761071043</v>
      </c>
      <c r="E56" s="12" t="n">
        <f aca="false">IF(B56&lt;$B$16,$B$27,C56+D56)</f>
        <v>230.724631687583</v>
      </c>
      <c r="F56" s="12" t="n">
        <f aca="false">E56-D56</f>
        <v>223.191404076873</v>
      </c>
      <c r="G56" s="12" t="n">
        <f aca="false">C56-F56</f>
        <v>680.795909208379</v>
      </c>
      <c r="H56" s="12" t="n">
        <f aca="false">-E56</f>
        <v>-230.724631687583</v>
      </c>
      <c r="J56" s="15" t="n">
        <f aca="false">J55+1</f>
        <v>21</v>
      </c>
      <c r="K56" s="12" t="n">
        <f aca="false">O55</f>
        <v>900.194597902266</v>
      </c>
      <c r="L56" s="12" t="n">
        <f aca="false">K56*$C$15</f>
        <v>5.25113515442988</v>
      </c>
      <c r="M56" s="12" t="n">
        <f aca="false">IF(J56&lt;$C$16,$C$27,K56+L56)</f>
        <v>228.340153426041</v>
      </c>
      <c r="N56" s="12" t="n">
        <f aca="false">M56-L56</f>
        <v>223.089018271611</v>
      </c>
      <c r="O56" s="12" t="n">
        <f aca="false">K56-N56</f>
        <v>677.105579630655</v>
      </c>
      <c r="P56" s="12" t="n">
        <f aca="false">-M56</f>
        <v>-228.340153426041</v>
      </c>
    </row>
    <row r="57" customFormat="false" ht="15" hidden="false" customHeight="false" outlineLevel="0" collapsed="false">
      <c r="B57" s="15" t="n">
        <f aca="false">B56+1</f>
        <v>22</v>
      </c>
      <c r="C57" s="12" t="n">
        <f aca="false">G56</f>
        <v>680.795909208379</v>
      </c>
      <c r="D57" s="12" t="n">
        <f aca="false">C57*$B$15</f>
        <v>5.67329924340316</v>
      </c>
      <c r="E57" s="12" t="n">
        <f aca="false">IF(B57&lt;$B$16,$B$27,C57+D57)</f>
        <v>230.724631687583</v>
      </c>
      <c r="F57" s="12" t="n">
        <f aca="false">E57-D57</f>
        <v>225.05133244418</v>
      </c>
      <c r="G57" s="12" t="n">
        <f aca="false">C57-F57</f>
        <v>455.744576764199</v>
      </c>
      <c r="H57" s="12" t="n">
        <f aca="false">-E57</f>
        <v>-230.724631687583</v>
      </c>
      <c r="J57" s="15" t="n">
        <f aca="false">J56+1</f>
        <v>22</v>
      </c>
      <c r="K57" s="12" t="n">
        <f aca="false">O56</f>
        <v>677.105579630655</v>
      </c>
      <c r="L57" s="12" t="n">
        <f aca="false">K57*$C$15</f>
        <v>3.94978254784549</v>
      </c>
      <c r="M57" s="12" t="n">
        <f aca="false">IF(J57&lt;$C$16,$C$27,K57+L57)</f>
        <v>228.340153426041</v>
      </c>
      <c r="N57" s="12" t="n">
        <f aca="false">M57-L57</f>
        <v>224.390370878195</v>
      </c>
      <c r="O57" s="12" t="n">
        <f aca="false">K57-N57</f>
        <v>452.715208752459</v>
      </c>
      <c r="P57" s="12" t="n">
        <f aca="false">-M57</f>
        <v>-228.340153426041</v>
      </c>
    </row>
    <row r="58" customFormat="false" ht="15" hidden="false" customHeight="false" outlineLevel="0" collapsed="false">
      <c r="B58" s="15" t="n">
        <f aca="false">B57+1</f>
        <v>23</v>
      </c>
      <c r="C58" s="12" t="n">
        <f aca="false">G57</f>
        <v>455.744576764199</v>
      </c>
      <c r="D58" s="12" t="n">
        <f aca="false">C58*$B$15</f>
        <v>3.79787147303499</v>
      </c>
      <c r="E58" s="12" t="n">
        <f aca="false">IF(B58&lt;$B$16,$B$27,C58+D58)</f>
        <v>230.724631687583</v>
      </c>
      <c r="F58" s="12" t="n">
        <f aca="false">E58-D58</f>
        <v>226.926760214548</v>
      </c>
      <c r="G58" s="12" t="n">
        <f aca="false">C58-F58</f>
        <v>228.817816549651</v>
      </c>
      <c r="H58" s="12" t="n">
        <f aca="false">-E58</f>
        <v>-230.724631687583</v>
      </c>
      <c r="J58" s="15" t="n">
        <f aca="false">J57+1</f>
        <v>23</v>
      </c>
      <c r="K58" s="12" t="n">
        <f aca="false">O57</f>
        <v>452.715208752459</v>
      </c>
      <c r="L58" s="12" t="n">
        <f aca="false">K58*$C$15</f>
        <v>2.64083871772268</v>
      </c>
      <c r="M58" s="12" t="n">
        <f aca="false">IF(J58&lt;$C$16,$C$27,K58+L58)</f>
        <v>228.340153426041</v>
      </c>
      <c r="N58" s="12" t="n">
        <f aca="false">M58-L58</f>
        <v>225.699314708318</v>
      </c>
      <c r="O58" s="12" t="n">
        <f aca="false">K58-N58</f>
        <v>227.015894044141</v>
      </c>
      <c r="P58" s="12" t="n">
        <f aca="false">-M58</f>
        <v>-228.340153426041</v>
      </c>
    </row>
    <row r="59" customFormat="false" ht="15" hidden="false" customHeight="false" outlineLevel="0" collapsed="false">
      <c r="B59" s="15" t="n">
        <f aca="false">B58+1</f>
        <v>24</v>
      </c>
      <c r="C59" s="12" t="n">
        <f aca="false">G58</f>
        <v>228.817816549651</v>
      </c>
      <c r="D59" s="12" t="n">
        <f aca="false">C59*$B$15</f>
        <v>1.90681513791376</v>
      </c>
      <c r="E59" s="12" t="n">
        <f aca="false">IF(B59&lt;$B$16,$B$27,C59+D59)</f>
        <v>230.724631687565</v>
      </c>
      <c r="F59" s="12" t="n">
        <f aca="false">E59-D59</f>
        <v>228.817816549651</v>
      </c>
      <c r="G59" s="12" t="n">
        <f aca="false">C59-F59</f>
        <v>0</v>
      </c>
      <c r="H59" s="12" t="n">
        <f aca="false">-E59</f>
        <v>-230.724631687565</v>
      </c>
      <c r="J59" s="15" t="n">
        <f aca="false">J58+1</f>
        <v>24</v>
      </c>
      <c r="K59" s="12" t="n">
        <f aca="false">O58</f>
        <v>227.015894044141</v>
      </c>
      <c r="L59" s="12" t="n">
        <f aca="false">K59*$C$15</f>
        <v>1.32425938192416</v>
      </c>
      <c r="M59" s="12" t="n">
        <f aca="false">IF(J59&lt;$C$16,$C$27,K59+L59)</f>
        <v>228.340153426066</v>
      </c>
      <c r="N59" s="12" t="n">
        <f aca="false">M59-L59</f>
        <v>227.015894044141</v>
      </c>
      <c r="O59" s="12" t="n">
        <f aca="false">K59-N59</f>
        <v>0</v>
      </c>
      <c r="P59" s="12" t="n">
        <f aca="false">-M59</f>
        <v>-228.340153426066</v>
      </c>
    </row>
    <row r="60" customFormat="false" ht="15" hidden="false" customHeight="false" outlineLevel="0" collapsed="false">
      <c r="A60" s="17" t="s">
        <v>47</v>
      </c>
      <c r="B60" s="18"/>
      <c r="C60" s="18"/>
      <c r="D60" s="19" t="n">
        <f aca="false">SUM(D36:D59)</f>
        <v>537.391160501979</v>
      </c>
      <c r="E60" s="19" t="n">
        <f aca="false">SUM(E36:E59)</f>
        <v>5537.39116050198</v>
      </c>
      <c r="F60" s="19" t="n">
        <f aca="false">SUM(F36:F59)</f>
        <v>5000</v>
      </c>
      <c r="G60" s="18"/>
      <c r="H60" s="18"/>
      <c r="J60" s="18"/>
      <c r="K60" s="18"/>
      <c r="L60" s="19" t="n">
        <f aca="false">SUM(L36:L59)</f>
        <v>380.163682225002</v>
      </c>
      <c r="M60" s="19" t="n">
        <f aca="false">SUM(M36:M59)</f>
        <v>5480.163682225</v>
      </c>
      <c r="N60" s="19" t="n">
        <f aca="false">SUM(N36:N59)</f>
        <v>5100</v>
      </c>
      <c r="O60" s="18"/>
      <c r="P60" s="18"/>
    </row>
    <row r="61" customFormat="false" ht="27.75" hidden="false" customHeight="true" outlineLevel="0" collapsed="false">
      <c r="A61" s="5" t="s">
        <v>48</v>
      </c>
      <c r="G61" s="20" t="n">
        <f aca="false">ROUND(G59,8)</f>
        <v>0</v>
      </c>
      <c r="O61" s="20" t="n">
        <f aca="false">ROUND(O59,8)</f>
        <v>0</v>
      </c>
    </row>
    <row r="62" customFormat="false" ht="27.75" hidden="false" customHeight="true" outlineLevel="0" collapsed="false">
      <c r="A62" s="5" t="s">
        <v>49</v>
      </c>
      <c r="F62" s="20" t="n">
        <f aca="false">ROUND(F60-$B$21,8)</f>
        <v>0</v>
      </c>
      <c r="N62" s="20" t="n">
        <f aca="false">ROUND(N60-$C$21,8)</f>
        <v>0</v>
      </c>
    </row>
    <row r="63" customFormat="false" ht="27.75" hidden="false" customHeight="true" outlineLevel="0" collapsed="false">
      <c r="A63" s="5" t="s">
        <v>50</v>
      </c>
      <c r="E63" s="20" t="n">
        <f aca="false">ROUND(E59-$B$27,8)</f>
        <v>-0</v>
      </c>
      <c r="M63" s="20" t="n">
        <f aca="false">ROUND(M59-$C$27,8)</f>
        <v>0</v>
      </c>
    </row>
    <row r="65" customFormat="false" ht="15" hidden="false" customHeight="false" outlineLevel="0" collapsed="false">
      <c r="A65" s="3" t="s">
        <v>51</v>
      </c>
    </row>
    <row r="66" customFormat="false" ht="27.75" hidden="false" customHeight="true" outlineLevel="0" collapsed="false">
      <c r="A66" s="4"/>
      <c r="B66" s="4" t="s">
        <v>4</v>
      </c>
      <c r="C66" s="4" t="s">
        <v>5</v>
      </c>
      <c r="D66" s="4" t="s">
        <v>18</v>
      </c>
      <c r="E66" s="4"/>
      <c r="F66" s="4"/>
      <c r="G66" s="4"/>
    </row>
    <row r="67" customFormat="false" ht="27.75" hidden="false" customHeight="true" outlineLevel="0" collapsed="false">
      <c r="A67" s="5" t="s">
        <v>52</v>
      </c>
      <c r="B67" s="12" t="n">
        <f aca="false">E60</f>
        <v>5537.39116050198</v>
      </c>
      <c r="C67" s="12" t="n">
        <f aca="false">M60</f>
        <v>5480.163682225</v>
      </c>
      <c r="D67" s="7" t="s">
        <v>53</v>
      </c>
      <c r="E67" s="7"/>
      <c r="F67" s="7"/>
      <c r="G67" s="7"/>
    </row>
    <row r="68" customFormat="false" ht="39.75" hidden="false" customHeight="true" outlineLevel="0" collapsed="false">
      <c r="A68" s="5" t="s">
        <v>54</v>
      </c>
      <c r="B68" s="12" t="n">
        <f aca="false">D60</f>
        <v>537.391160501979</v>
      </c>
      <c r="C68" s="12" t="n">
        <f aca="false">L60</f>
        <v>380.163682225002</v>
      </c>
      <c r="D68" s="7" t="s">
        <v>55</v>
      </c>
      <c r="E68" s="7"/>
      <c r="F68" s="7"/>
      <c r="G68" s="7"/>
    </row>
    <row r="69" customFormat="false" ht="27.75" hidden="false" customHeight="true" outlineLevel="0" collapsed="false">
      <c r="A69" s="5" t="s">
        <v>56</v>
      </c>
      <c r="B69" s="12" t="n">
        <f aca="false">B20</f>
        <v>0</v>
      </c>
      <c r="C69" s="12" t="n">
        <f aca="false">C20</f>
        <v>100</v>
      </c>
      <c r="D69" s="7" t="s">
        <v>57</v>
      </c>
      <c r="E69" s="7"/>
      <c r="F69" s="7"/>
      <c r="G69" s="7"/>
    </row>
    <row r="70" customFormat="false" ht="27.75" hidden="false" customHeight="true" outlineLevel="0" collapsed="false">
      <c r="A70" s="5" t="s">
        <v>58</v>
      </c>
      <c r="B70" s="12" t="n">
        <f aca="false">B68+B69</f>
        <v>537.391160501979</v>
      </c>
      <c r="C70" s="12" t="n">
        <f aca="false">C68+C69</f>
        <v>480.163682225002</v>
      </c>
      <c r="D70" s="7" t="s">
        <v>59</v>
      </c>
      <c r="E70" s="7"/>
      <c r="F70" s="7"/>
      <c r="G70" s="7"/>
    </row>
    <row r="71" customFormat="false" ht="39.75" hidden="false" customHeight="true" outlineLevel="0" collapsed="false">
      <c r="A71" s="5" t="s">
        <v>60</v>
      </c>
      <c r="B71" s="10" t="n">
        <f aca="false">RATE(B16,-B27,B7)</f>
        <v>0.00833333333333328</v>
      </c>
      <c r="C71" s="10" t="n">
        <f aca="false">RATE(C16,-C27,C7)</f>
        <v>0.00746964410831711</v>
      </c>
      <c r="D71" s="7" t="s">
        <v>61</v>
      </c>
      <c r="E71" s="7"/>
      <c r="F71" s="7"/>
      <c r="G71" s="7"/>
    </row>
    <row r="72" customFormat="false" ht="27.75" hidden="false" customHeight="true" outlineLevel="0" collapsed="false">
      <c r="A72" s="5" t="s">
        <v>62</v>
      </c>
      <c r="B72" s="10" t="n">
        <f aca="false">IRR(H35:H59)</f>
        <v>0.00833333333330731</v>
      </c>
      <c r="C72" s="10" t="n">
        <f aca="false">IRR(P35:P59)</f>
        <v>0.00746964410831769</v>
      </c>
      <c r="D72" s="7" t="s">
        <v>63</v>
      </c>
      <c r="E72" s="7"/>
      <c r="F72" s="7"/>
      <c r="G72" s="7"/>
    </row>
    <row r="73" customFormat="false" ht="39.75" hidden="false" customHeight="true" outlineLevel="0" collapsed="false">
      <c r="A73" s="5" t="s">
        <v>64</v>
      </c>
      <c r="B73" s="21" t="n">
        <f aca="false">B71*B9</f>
        <v>0.0999999999999994</v>
      </c>
      <c r="C73" s="21" t="n">
        <f aca="false">C71*C9</f>
        <v>0.0896357292998053</v>
      </c>
      <c r="D73" s="7" t="s">
        <v>65</v>
      </c>
      <c r="E73" s="7"/>
      <c r="F73" s="7"/>
      <c r="G73" s="7"/>
    </row>
    <row r="74" customFormat="false" ht="27.75" hidden="false" customHeight="true" outlineLevel="0" collapsed="false">
      <c r="A74" s="5" t="s">
        <v>66</v>
      </c>
      <c r="B74" s="21" t="n">
        <f aca="false">(1+B71)^B9-1</f>
        <v>0.104713067441297</v>
      </c>
      <c r="C74" s="21" t="n">
        <f aca="false">(1+C71)^C9-1</f>
        <v>0.093411487464014</v>
      </c>
      <c r="D74" s="7" t="s">
        <v>67</v>
      </c>
      <c r="E74" s="7"/>
      <c r="F74" s="7"/>
      <c r="G74" s="7"/>
    </row>
    <row r="75" customFormat="false" ht="27.75" hidden="false" customHeight="true" outlineLevel="0" collapsed="false">
      <c r="A75" s="5" t="s">
        <v>68</v>
      </c>
      <c r="B75" s="21" t="n">
        <f aca="false">(1+B15)^B9-1</f>
        <v>0.104713067441297</v>
      </c>
      <c r="C75" s="21" t="n">
        <f aca="false">(1+C15)^C9-1</f>
        <v>0.0722900808562359</v>
      </c>
      <c r="D75" s="7" t="s">
        <v>69</v>
      </c>
      <c r="E75" s="7"/>
      <c r="F75" s="7"/>
      <c r="G75" s="7"/>
    </row>
    <row r="77" customFormat="false" ht="15" hidden="false" customHeight="false" outlineLevel="0" collapsed="false">
      <c r="A77" s="3" t="s">
        <v>70</v>
      </c>
    </row>
    <row r="78" customFormat="false" ht="15.75" hidden="false" customHeight="true" outlineLevel="0" collapsed="false">
      <c r="A78" s="2" t="s">
        <v>71</v>
      </c>
      <c r="B78" s="2"/>
      <c r="C78" s="2"/>
      <c r="D78" s="2"/>
      <c r="E78" s="2"/>
      <c r="F78" s="2"/>
      <c r="G78" s="2"/>
      <c r="H78" s="2"/>
      <c r="I78" s="2"/>
      <c r="J78" s="2"/>
      <c r="K78" s="2"/>
      <c r="L78" s="2"/>
      <c r="M78" s="2"/>
      <c r="N78" s="2"/>
      <c r="O78" s="2"/>
      <c r="P78" s="2"/>
    </row>
    <row r="79" customFormat="false" ht="7.5" hidden="false" customHeight="true" outlineLevel="0" collapsed="false"/>
  </sheetData>
  <mergeCells count="34">
    <mergeCell ref="A2:P2"/>
    <mergeCell ref="A3:P3"/>
    <mergeCell ref="D6:G6"/>
    <mergeCell ref="D7:G7"/>
    <mergeCell ref="D8:G8"/>
    <mergeCell ref="D9:G9"/>
    <mergeCell ref="D10:G10"/>
    <mergeCell ref="D11:G11"/>
    <mergeCell ref="D14:G14"/>
    <mergeCell ref="D15:G15"/>
    <mergeCell ref="D16:G16"/>
    <mergeCell ref="D19:G19"/>
    <mergeCell ref="D20:G20"/>
    <mergeCell ref="D21:G21"/>
    <mergeCell ref="D24:G24"/>
    <mergeCell ref="D25:G25"/>
    <mergeCell ref="D26:G26"/>
    <mergeCell ref="D27:G27"/>
    <mergeCell ref="D28:G28"/>
    <mergeCell ref="D29:G29"/>
    <mergeCell ref="A32:P32"/>
    <mergeCell ref="B33:H33"/>
    <mergeCell ref="J33:P33"/>
    <mergeCell ref="D66:G66"/>
    <mergeCell ref="D67:G67"/>
    <mergeCell ref="D68:G68"/>
    <mergeCell ref="D69:G69"/>
    <mergeCell ref="D70:G70"/>
    <mergeCell ref="D71:G71"/>
    <mergeCell ref="D72:G72"/>
    <mergeCell ref="D73:G73"/>
    <mergeCell ref="D74:G74"/>
    <mergeCell ref="D75:G75"/>
    <mergeCell ref="A78:P78"/>
  </mergeCells>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3" manualBreakCount="3">
    <brk id="30" man="true" max="16383" min="0"/>
    <brk id="64" man="true" max="16383" min="0"/>
    <brk id="76" man="true" max="16383" min="0"/>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16"/>
    <col collapsed="false" customWidth="true" hidden="false" outlineLevel="0" max="4" min="4" style="0" width="18"/>
    <col collapsed="false" customWidth="true" hidden="false" outlineLevel="0" max="5" min="5" style="0" width="15"/>
    <col collapsed="false" customWidth="true" hidden="false" outlineLevel="0" max="6" min="6" style="0" width="16"/>
    <col collapsed="false" customWidth="true" hidden="false" outlineLevel="0" max="7" min="7" style="0" width="18"/>
    <col collapsed="false" customWidth="true" hidden="false" outlineLevel="0" max="8" min="8" style="0" width="15"/>
    <col collapsed="false" customWidth="true" hidden="false" outlineLevel="0" max="9" min="9" style="0" width="2"/>
  </cols>
  <sheetData>
    <row r="1" customFormat="false" ht="18" hidden="false" customHeight="true" outlineLevel="0" collapsed="false">
      <c r="A1" s="1" t="s">
        <v>72</v>
      </c>
    </row>
    <row r="2" customFormat="false" ht="30" hidden="false" customHeight="true" outlineLevel="0" collapsed="false">
      <c r="A2" s="2" t="s">
        <v>73</v>
      </c>
      <c r="B2" s="2"/>
      <c r="C2" s="2"/>
      <c r="D2" s="2"/>
      <c r="E2" s="2"/>
      <c r="F2" s="2"/>
      <c r="G2" s="2"/>
      <c r="H2" s="2"/>
    </row>
    <row r="3" customFormat="false" ht="27.75" hidden="false" customHeight="true" outlineLevel="0" collapsed="false">
      <c r="A3" s="2" t="s">
        <v>2</v>
      </c>
      <c r="B3" s="2"/>
      <c r="C3" s="2"/>
      <c r="D3" s="2"/>
      <c r="E3" s="2"/>
      <c r="F3" s="2"/>
      <c r="G3" s="2"/>
      <c r="H3" s="2"/>
    </row>
    <row r="5" customFormat="false" ht="15" hidden="false" customHeight="false" outlineLevel="0" collapsed="false">
      <c r="A5" s="3" t="s">
        <v>74</v>
      </c>
    </row>
    <row r="6" customFormat="false" ht="27.75" hidden="false" customHeight="true" outlineLevel="0" collapsed="false">
      <c r="A6" s="4"/>
      <c r="B6" s="4" t="s">
        <v>75</v>
      </c>
      <c r="C6" s="4" t="s">
        <v>6</v>
      </c>
      <c r="D6" s="4"/>
      <c r="E6" s="4"/>
      <c r="F6" s="4"/>
      <c r="G6" s="4"/>
      <c r="H6" s="4"/>
    </row>
    <row r="7" customFormat="false" ht="15.75" hidden="false" customHeight="true" outlineLevel="0" collapsed="false">
      <c r="A7" s="5" t="s">
        <v>76</v>
      </c>
      <c r="B7" s="22" t="n">
        <f aca="false">'1 Amortization'!B8</f>
        <v>0.1</v>
      </c>
      <c r="C7" s="7" t="s">
        <v>77</v>
      </c>
      <c r="D7" s="7"/>
      <c r="E7" s="7"/>
      <c r="F7" s="7"/>
      <c r="G7" s="7"/>
      <c r="H7" s="7"/>
    </row>
    <row r="8" customFormat="false" ht="15.75" hidden="false" customHeight="true" outlineLevel="0" collapsed="false">
      <c r="A8" s="5" t="s">
        <v>78</v>
      </c>
      <c r="B8" s="23" t="n">
        <f aca="false">'1 Amortization'!B15</f>
        <v>0.00833333333333333</v>
      </c>
      <c r="C8" s="7"/>
      <c r="D8" s="7"/>
      <c r="E8" s="7"/>
      <c r="F8" s="7"/>
      <c r="G8" s="7"/>
      <c r="H8" s="7"/>
    </row>
    <row r="9" customFormat="false" ht="15.75" hidden="false" customHeight="true" outlineLevel="0" collapsed="false">
      <c r="A9" s="5" t="s">
        <v>79</v>
      </c>
      <c r="B9" s="24" t="n">
        <f aca="false">'1 Amortization'!B16</f>
        <v>24</v>
      </c>
      <c r="C9" s="7"/>
      <c r="D9" s="7"/>
      <c r="E9" s="7"/>
      <c r="F9" s="7"/>
      <c r="G9" s="7"/>
      <c r="H9" s="7"/>
    </row>
    <row r="10" customFormat="false" ht="15.75" hidden="false" customHeight="true" outlineLevel="0" collapsed="false">
      <c r="A10" s="5" t="s">
        <v>80</v>
      </c>
      <c r="B10" s="25" t="n">
        <f aca="false">'1 Amortization'!B27</f>
        <v>230.724631687583</v>
      </c>
      <c r="C10" s="7"/>
      <c r="D10" s="7"/>
      <c r="E10" s="7"/>
      <c r="F10" s="7"/>
      <c r="G10" s="7"/>
      <c r="H10" s="7"/>
    </row>
    <row r="11" customFormat="false" ht="15.75" hidden="false" customHeight="true" outlineLevel="0" collapsed="false">
      <c r="A11" s="5" t="s">
        <v>81</v>
      </c>
      <c r="B11" s="25" t="n">
        <f aca="false">'1 Amortization'!C27</f>
        <v>228.340153426041</v>
      </c>
      <c r="C11" s="7"/>
      <c r="D11" s="7"/>
      <c r="E11" s="7"/>
      <c r="F11" s="7"/>
      <c r="G11" s="7"/>
      <c r="H11" s="7"/>
    </row>
    <row r="13" customFormat="false" ht="15" hidden="false" customHeight="false" outlineLevel="0" collapsed="false">
      <c r="A13" s="3" t="s">
        <v>82</v>
      </c>
    </row>
    <row r="14" customFormat="false" ht="15.75" hidden="false" customHeight="true" outlineLevel="0" collapsed="false">
      <c r="A14" s="2" t="s">
        <v>83</v>
      </c>
      <c r="B14" s="2"/>
      <c r="C14" s="2"/>
      <c r="D14" s="2"/>
      <c r="E14" s="2"/>
      <c r="F14" s="2"/>
      <c r="G14" s="2"/>
      <c r="H14" s="2"/>
    </row>
    <row r="15" customFormat="false" ht="42" hidden="false" customHeight="true" outlineLevel="0" collapsed="false">
      <c r="A15" s="2" t="s">
        <v>84</v>
      </c>
      <c r="B15" s="2"/>
      <c r="C15" s="2"/>
      <c r="D15" s="2"/>
      <c r="E15" s="2"/>
      <c r="F15" s="2"/>
      <c r="G15" s="2"/>
      <c r="H15" s="2"/>
    </row>
    <row r="17" customFormat="false" ht="15.75" hidden="false" customHeight="true" outlineLevel="0" collapsed="false">
      <c r="A17" s="26"/>
      <c r="B17" s="26"/>
      <c r="C17" s="14" t="s">
        <v>4</v>
      </c>
      <c r="D17" s="14"/>
      <c r="E17" s="14"/>
      <c r="F17" s="14" t="s">
        <v>5</v>
      </c>
      <c r="G17" s="14"/>
      <c r="H17" s="14"/>
    </row>
    <row r="18" customFormat="false" ht="57.75" hidden="false" customHeight="true" outlineLevel="0" collapsed="false">
      <c r="A18" s="4" t="s">
        <v>85</v>
      </c>
      <c r="B18" s="4" t="s">
        <v>86</v>
      </c>
      <c r="C18" s="4" t="s">
        <v>87</v>
      </c>
      <c r="D18" s="4" t="s">
        <v>88</v>
      </c>
      <c r="E18" s="4" t="s">
        <v>89</v>
      </c>
      <c r="F18" s="4" t="s">
        <v>87</v>
      </c>
      <c r="G18" s="4" t="s">
        <v>88</v>
      </c>
      <c r="H18" s="4" t="s">
        <v>89</v>
      </c>
    </row>
    <row r="19" customFormat="false" ht="15" hidden="false" customHeight="false" outlineLevel="0" collapsed="false">
      <c r="A19" s="15" t="n">
        <v>1</v>
      </c>
      <c r="B19" s="15" t="n">
        <f aca="false">$B$9-A19</f>
        <v>23</v>
      </c>
      <c r="C19" s="25" t="n">
        <f aca="false">'1 Amortization'!G36</f>
        <v>4810.94203497908</v>
      </c>
      <c r="D19" s="12" t="n">
        <f aca="false">PV($B$8,B19,-$B$10)</f>
        <v>4810.94203497908</v>
      </c>
      <c r="E19" s="12" t="n">
        <f aca="false">ROUND(C19-D19,8)</f>
        <v>0</v>
      </c>
      <c r="F19" s="25" t="n">
        <f aca="false">'1 Amortization'!O36</f>
        <v>4901.40984657396</v>
      </c>
      <c r="G19" s="12" t="n">
        <f aca="false">PV($B$8,B19,-$B$11)</f>
        <v>4761.22221696034</v>
      </c>
      <c r="H19" s="12" t="n">
        <f aca="false">ROUND(F19-G19,8)</f>
        <v>140.18762961</v>
      </c>
    </row>
    <row r="20" customFormat="false" ht="15" hidden="false" customHeight="false" outlineLevel="0" collapsed="false">
      <c r="A20" s="15" t="n">
        <f aca="false">A19+1</f>
        <v>2</v>
      </c>
      <c r="B20" s="15" t="n">
        <f aca="false">$B$9-A20</f>
        <v>22</v>
      </c>
      <c r="C20" s="25" t="n">
        <f aca="false">'1 Amortization'!G37</f>
        <v>4620.30858691633</v>
      </c>
      <c r="D20" s="12" t="n">
        <f aca="false">PV($B$8,B20,-$B$10)</f>
        <v>4620.30858691633</v>
      </c>
      <c r="E20" s="12" t="n">
        <f aca="false">ROUND(C20-D20,8)</f>
        <v>0</v>
      </c>
      <c r="F20" s="25" t="n">
        <f aca="false">'1 Amortization'!O37</f>
        <v>4701.66125058627</v>
      </c>
      <c r="G20" s="12" t="n">
        <f aca="false">PV($B$8,B20,-$B$11)</f>
        <v>4572.5589153423</v>
      </c>
      <c r="H20" s="12" t="n">
        <f aca="false">ROUND(F20-G20,8)</f>
        <v>129.10233524</v>
      </c>
    </row>
    <row r="21" customFormat="false" ht="15" hidden="false" customHeight="false" outlineLevel="0" collapsed="false">
      <c r="A21" s="15" t="n">
        <f aca="false">A20+1</f>
        <v>3</v>
      </c>
      <c r="B21" s="15" t="n">
        <f aca="false">$B$9-A21</f>
        <v>21</v>
      </c>
      <c r="C21" s="25" t="n">
        <f aca="false">'1 Amortization'!G38</f>
        <v>4428.08652678638</v>
      </c>
      <c r="D21" s="12" t="n">
        <f aca="false">PV($B$8,B21,-$B$10)</f>
        <v>4428.08652678638</v>
      </c>
      <c r="E21" s="12" t="n">
        <f aca="false">ROUND(C21-D21,8)</f>
        <v>0</v>
      </c>
      <c r="F21" s="25" t="n">
        <f aca="false">'1 Amortization'!O38</f>
        <v>4500.74745445531</v>
      </c>
      <c r="G21" s="12" t="n">
        <f aca="false">PV($B$8,B21,-$B$11)</f>
        <v>4382.32341954411</v>
      </c>
      <c r="H21" s="12" t="n">
        <f aca="false">ROUND(F21-G21,8)</f>
        <v>118.42403491</v>
      </c>
    </row>
    <row r="22" customFormat="false" ht="15" hidden="false" customHeight="false" outlineLevel="0" collapsed="false">
      <c r="A22" s="15" t="n">
        <f aca="false">A21+1</f>
        <v>4</v>
      </c>
      <c r="B22" s="15" t="n">
        <f aca="false">$B$9-A22</f>
        <v>20</v>
      </c>
      <c r="C22" s="25" t="n">
        <f aca="false">'1 Amortization'!G39</f>
        <v>4234.26261615535</v>
      </c>
      <c r="D22" s="12" t="n">
        <f aca="false">PV($B$8,B22,-$B$10)</f>
        <v>4234.26261615535</v>
      </c>
      <c r="E22" s="12" t="n">
        <f aca="false">ROUND(C22-D22,8)</f>
        <v>0</v>
      </c>
      <c r="F22" s="25" t="n">
        <f aca="false">'1 Amortization'!O39</f>
        <v>4298.66166118026</v>
      </c>
      <c r="G22" s="12" t="n">
        <f aca="false">PV($B$8,B22,-$B$11)</f>
        <v>4190.50262794761</v>
      </c>
      <c r="H22" s="12" t="n">
        <f aca="false">ROUND(F22-G22,8)</f>
        <v>108.15903323</v>
      </c>
    </row>
    <row r="23" customFormat="false" ht="15" hidden="false" customHeight="false" outlineLevel="0" collapsed="false">
      <c r="A23" s="15" t="n">
        <f aca="false">A22+1</f>
        <v>5</v>
      </c>
      <c r="B23" s="15" t="n">
        <f aca="false">$B$9-A23</f>
        <v>19</v>
      </c>
      <c r="C23" s="25" t="n">
        <f aca="false">'1 Amortization'!G40</f>
        <v>4038.82350626906</v>
      </c>
      <c r="D23" s="12" t="n">
        <f aca="false">PV($B$8,B23,-$B$10)</f>
        <v>4038.82350626906</v>
      </c>
      <c r="E23" s="12" t="n">
        <f aca="false">ROUND(C23-D23,8)</f>
        <v>0</v>
      </c>
      <c r="F23" s="25" t="n">
        <f aca="false">'1 Amortization'!O40</f>
        <v>4095.39703411111</v>
      </c>
      <c r="G23" s="12" t="n">
        <f aca="false">PV($B$8,B23,-$B$11)</f>
        <v>3997.08332975446</v>
      </c>
      <c r="H23" s="12" t="n">
        <f aca="false">ROUND(F23-G23,8)</f>
        <v>98.31370436</v>
      </c>
    </row>
    <row r="24" customFormat="false" ht="15" hidden="false" customHeight="false" outlineLevel="0" collapsed="false">
      <c r="A24" s="15" t="n">
        <f aca="false">A23+1</f>
        <v>6</v>
      </c>
      <c r="B24" s="15" t="n">
        <f aca="false">$B$9-A24</f>
        <v>18</v>
      </c>
      <c r="C24" s="25" t="n">
        <f aca="false">'1 Amortization'!G41</f>
        <v>3841.75573713372</v>
      </c>
      <c r="D24" s="12" t="n">
        <f aca="false">PV($B$8,B24,-$B$10)</f>
        <v>3841.75573713372</v>
      </c>
      <c r="E24" s="12" t="n">
        <f aca="false">ROUND(C24-D24,8)</f>
        <v>0</v>
      </c>
      <c r="F24" s="25" t="n">
        <f aca="false">'1 Amortization'!O41</f>
        <v>3890.94669671738</v>
      </c>
      <c r="G24" s="12" t="n">
        <f aca="false">PV($B$8,B24,-$B$11)</f>
        <v>3802.05220407638</v>
      </c>
      <c r="H24" s="12" t="n">
        <f aca="false">ROUND(F24-G24,8)</f>
        <v>88.89449264</v>
      </c>
    </row>
    <row r="25" customFormat="false" ht="15" hidden="false" customHeight="false" outlineLevel="0" collapsed="false">
      <c r="A25" s="15" t="n">
        <f aca="false">A24+1</f>
        <v>7</v>
      </c>
      <c r="B25" s="15" t="n">
        <f aca="false">$B$9-A25</f>
        <v>17</v>
      </c>
      <c r="C25" s="25" t="n">
        <f aca="false">'1 Amortization'!G42</f>
        <v>3643.04573658892</v>
      </c>
      <c r="D25" s="12" t="n">
        <f aca="false">PV($B$8,B25,-$B$10)</f>
        <v>3643.04573658892</v>
      </c>
      <c r="E25" s="12" t="n">
        <f aca="false">ROUND(C25-D25,8)</f>
        <v>0</v>
      </c>
      <c r="F25" s="25" t="n">
        <f aca="false">'1 Amortization'!O42</f>
        <v>3685.30373235552</v>
      </c>
      <c r="G25" s="12" t="n">
        <f aca="false">PV($B$8,B25,-$B$11)</f>
        <v>3605.39581901764</v>
      </c>
      <c r="H25" s="12" t="n">
        <f aca="false">ROUND(F25-G25,8)</f>
        <v>79.90791334</v>
      </c>
    </row>
    <row r="26" customFormat="false" ht="15" hidden="false" customHeight="false" outlineLevel="0" collapsed="false">
      <c r="A26" s="15" t="n">
        <f aca="false">A25+1</f>
        <v>8</v>
      </c>
      <c r="B26" s="15" t="n">
        <f aca="false">$B$9-A26</f>
        <v>16</v>
      </c>
      <c r="C26" s="25" t="n">
        <f aca="false">'1 Amortization'!G43</f>
        <v>3442.67981937291</v>
      </c>
      <c r="D26" s="12" t="n">
        <f aca="false">PV($B$8,B26,-$B$10)</f>
        <v>3442.67981937291</v>
      </c>
      <c r="E26" s="12" t="n">
        <f aca="false">ROUND(C26-D26,8)</f>
        <v>0</v>
      </c>
      <c r="F26" s="25" t="n">
        <f aca="false">'1 Amortization'!O43</f>
        <v>3478.46118403489</v>
      </c>
      <c r="G26" s="12" t="n">
        <f aca="false">PV($B$8,B26,-$B$11)</f>
        <v>3407.10063075008</v>
      </c>
      <c r="H26" s="12" t="n">
        <f aca="false">ROUND(F26-G26,8)</f>
        <v>71.36055328</v>
      </c>
    </row>
    <row r="27" customFormat="false" ht="15" hidden="false" customHeight="false" outlineLevel="0" collapsed="false">
      <c r="A27" s="15" t="n">
        <f aca="false">A26+1</f>
        <v>9</v>
      </c>
      <c r="B27" s="15" t="n">
        <f aca="false">$B$9-A27</f>
        <v>15</v>
      </c>
      <c r="C27" s="25" t="n">
        <f aca="false">'1 Amortization'!G44</f>
        <v>3240.6441861801</v>
      </c>
      <c r="D27" s="12" t="n">
        <f aca="false">PV($B$8,B27,-$B$10)</f>
        <v>3240.6441861801</v>
      </c>
      <c r="E27" s="12" t="n">
        <f aca="false">ROUND(C27-D27,8)</f>
        <v>0</v>
      </c>
      <c r="F27" s="25" t="n">
        <f aca="false">'1 Amortization'!O44</f>
        <v>3270.41205418239</v>
      </c>
      <c r="G27" s="12" t="n">
        <f aca="false">PV($B$8,B27,-$B$11)</f>
        <v>3207.15298258029</v>
      </c>
      <c r="H27" s="12" t="n">
        <f aca="false">ROUND(F27-G27,8)</f>
        <v>63.2590716</v>
      </c>
    </row>
    <row r="28" customFormat="false" ht="15" hidden="false" customHeight="false" outlineLevel="0" collapsed="false">
      <c r="A28" s="15" t="n">
        <f aca="false">A27+1</f>
        <v>10</v>
      </c>
      <c r="B28" s="15" t="n">
        <f aca="false">$B$9-A28</f>
        <v>14</v>
      </c>
      <c r="C28" s="25" t="n">
        <f aca="false">'1 Amortization'!G45</f>
        <v>3036.92492271068</v>
      </c>
      <c r="D28" s="12" t="n">
        <f aca="false">PV($B$8,B28,-$B$10)</f>
        <v>3036.92492271069</v>
      </c>
      <c r="E28" s="12" t="n">
        <f aca="false">ROUND(C28-D28,8)</f>
        <v>0</v>
      </c>
      <c r="F28" s="25" t="n">
        <f aca="false">'1 Amortization'!O45</f>
        <v>3061.14930440574</v>
      </c>
      <c r="G28" s="12" t="n">
        <f aca="false">PV($B$8,B28,-$B$11)</f>
        <v>3005.53910400909</v>
      </c>
      <c r="H28" s="12" t="n">
        <f aca="false">ROUND(F28-G28,8)</f>
        <v>55.6102004</v>
      </c>
    </row>
    <row r="29" customFormat="false" ht="15" hidden="false" customHeight="false" outlineLevel="0" collapsed="false">
      <c r="A29" s="15" t="n">
        <f aca="false">A28+1</f>
        <v>11</v>
      </c>
      <c r="B29" s="15" t="n">
        <f aca="false">$B$9-A29</f>
        <v>13</v>
      </c>
      <c r="C29" s="25" t="n">
        <f aca="false">'1 Amortization'!G46</f>
        <v>2831.50799871236</v>
      </c>
      <c r="D29" s="12" t="n">
        <f aca="false">PV($B$8,B29,-$B$10)</f>
        <v>2831.50799871236</v>
      </c>
      <c r="E29" s="12" t="n">
        <f aca="false">ROUND(C29-D29,8)</f>
        <v>0</v>
      </c>
      <c r="F29" s="25" t="n">
        <f aca="false">'1 Amortization'!O46</f>
        <v>2850.6658552554</v>
      </c>
      <c r="G29" s="12" t="n">
        <f aca="false">PV($B$8,B29,-$B$11)</f>
        <v>2802.24510978312</v>
      </c>
      <c r="H29" s="12" t="n">
        <f aca="false">ROUND(F29-G29,8)</f>
        <v>48.42074547</v>
      </c>
    </row>
    <row r="30" customFormat="false" ht="15" hidden="false" customHeight="false" outlineLevel="0" collapsed="false">
      <c r="A30" s="15" t="n">
        <f aca="false">A29+1</f>
        <v>12</v>
      </c>
      <c r="B30" s="15" t="n">
        <f aca="false">$B$9-A30</f>
        <v>12</v>
      </c>
      <c r="C30" s="25" t="n">
        <f aca="false">'1 Amortization'!G47</f>
        <v>2624.37926701404</v>
      </c>
      <c r="D30" s="12" t="n">
        <f aca="false">PV($B$8,B30,-$B$10)</f>
        <v>2624.37926701405</v>
      </c>
      <c r="E30" s="12" t="n">
        <f aca="false">ROUND(C30-D30,8)</f>
        <v>0</v>
      </c>
      <c r="F30" s="25" t="n">
        <f aca="false">'1 Amortization'!O47</f>
        <v>2638.95458598502</v>
      </c>
      <c r="G30" s="12" t="n">
        <f aca="false">PV($B$8,B30,-$B$11)</f>
        <v>2597.25699893861</v>
      </c>
      <c r="H30" s="12" t="n">
        <f aca="false">ROUND(F30-G30,8)</f>
        <v>41.69758705</v>
      </c>
    </row>
    <row r="31" customFormat="false" ht="15" hidden="false" customHeight="false" outlineLevel="0" collapsed="false">
      <c r="A31" s="15" t="n">
        <f aca="false">A30+1</f>
        <v>13</v>
      </c>
      <c r="B31" s="15" t="n">
        <f aca="false">$B$9-A31</f>
        <v>11</v>
      </c>
      <c r="C31" s="25" t="n">
        <f aca="false">'1 Amortization'!G48</f>
        <v>2415.52446255158</v>
      </c>
      <c r="D31" s="12" t="n">
        <f aca="false">PV($B$8,B31,-$B$10)</f>
        <v>2415.52446255158</v>
      </c>
      <c r="E31" s="12" t="n">
        <f aca="false">ROUND(C31-D31,8)</f>
        <v>0</v>
      </c>
      <c r="F31" s="25" t="n">
        <f aca="false">'1 Amortization'!O48</f>
        <v>2426.00833431056</v>
      </c>
      <c r="G31" s="12" t="n">
        <f aca="false">PV($B$8,B31,-$B$11)</f>
        <v>2390.56065383706</v>
      </c>
      <c r="H31" s="12" t="n">
        <f aca="false">ROUND(F31-G31,8)</f>
        <v>35.44768047</v>
      </c>
    </row>
    <row r="32" customFormat="false" ht="15" hidden="false" customHeight="false" outlineLevel="0" collapsed="false">
      <c r="A32" s="15" t="n">
        <f aca="false">A31+1</f>
        <v>14</v>
      </c>
      <c r="B32" s="15" t="n">
        <f aca="false">$B$9-A32</f>
        <v>10</v>
      </c>
      <c r="C32" s="25" t="n">
        <f aca="false">'1 Amortization'!G49</f>
        <v>2204.92920138526</v>
      </c>
      <c r="D32" s="12" t="n">
        <f aca="false">PV($B$8,B32,-$B$10)</f>
        <v>2204.92920138526</v>
      </c>
      <c r="E32" s="12" t="n">
        <f aca="false">ROUND(C32-D32,8)</f>
        <v>-0</v>
      </c>
      <c r="F32" s="25" t="n">
        <f aca="false">'1 Amortization'!O49</f>
        <v>2211.81989616799</v>
      </c>
      <c r="G32" s="12" t="n">
        <f aca="false">PV($B$8,B32,-$B$11)</f>
        <v>2182.14183919299</v>
      </c>
      <c r="H32" s="12" t="n">
        <f aca="false">ROUND(F32-G32,8)</f>
        <v>29.67805698</v>
      </c>
    </row>
    <row r="33" customFormat="false" ht="15" hidden="false" customHeight="false" outlineLevel="0" collapsed="false">
      <c r="A33" s="15" t="n">
        <f aca="false">A32+1</f>
        <v>15</v>
      </c>
      <c r="B33" s="15" t="n">
        <f aca="false">$B$9-A33</f>
        <v>9</v>
      </c>
      <c r="C33" s="25" t="n">
        <f aca="false">'1 Amortization'!G50</f>
        <v>1992.57897970922</v>
      </c>
      <c r="D33" s="12" t="n">
        <f aca="false">PV($B$8,B33,-$B$10)</f>
        <v>1992.57897970923</v>
      </c>
      <c r="E33" s="12" t="n">
        <f aca="false">ROUND(C33-D33,8)</f>
        <v>-0</v>
      </c>
      <c r="F33" s="25" t="n">
        <f aca="false">'1 Amortization'!O50</f>
        <v>1996.3820254696</v>
      </c>
      <c r="G33" s="12" t="n">
        <f aca="false">PV($B$8,B33,-$B$11)</f>
        <v>1971.98620109356</v>
      </c>
      <c r="H33" s="12" t="n">
        <f aca="false">ROUND(F33-G33,8)</f>
        <v>24.39582438</v>
      </c>
    </row>
    <row r="34" customFormat="false" ht="15" hidden="false" customHeight="false" outlineLevel="0" collapsed="false">
      <c r="A34" s="15" t="n">
        <f aca="false">A33+1</f>
        <v>16</v>
      </c>
      <c r="B34" s="15" t="n">
        <f aca="false">$B$9-A34</f>
        <v>8</v>
      </c>
      <c r="C34" s="25" t="n">
        <f aca="false">'1 Amortization'!G51</f>
        <v>1778.45917285254</v>
      </c>
      <c r="D34" s="12" t="n">
        <f aca="false">PV($B$8,B34,-$B$10)</f>
        <v>1778.45917285256</v>
      </c>
      <c r="E34" s="12" t="n">
        <f aca="false">ROUND(C34-D34,8)</f>
        <v>-0</v>
      </c>
      <c r="F34" s="25" t="n">
        <f aca="false">'1 Amortization'!O51</f>
        <v>1779.6874338588</v>
      </c>
      <c r="G34" s="12" t="n">
        <f aca="false">PV($B$8,B34,-$B$11)</f>
        <v>1760.07926600997</v>
      </c>
      <c r="H34" s="12" t="n">
        <f aca="false">ROUND(F34-G34,8)</f>
        <v>19.60816785</v>
      </c>
    </row>
    <row r="35" customFormat="false" ht="15" hidden="false" customHeight="false" outlineLevel="0" collapsed="false">
      <c r="A35" s="15" t="n">
        <f aca="false">A34+1</f>
        <v>17</v>
      </c>
      <c r="B35" s="15" t="n">
        <f aca="false">$B$9-A35</f>
        <v>7</v>
      </c>
      <c r="C35" s="25" t="n">
        <f aca="false">'1 Amortization'!G52</f>
        <v>1562.55503427206</v>
      </c>
      <c r="D35" s="12" t="n">
        <f aca="false">PV($B$8,B35,-$B$10)</f>
        <v>1562.55503427208</v>
      </c>
      <c r="E35" s="12" t="n">
        <f aca="false">ROUND(C35-D35,8)</f>
        <v>-0</v>
      </c>
      <c r="F35" s="25" t="n">
        <f aca="false">'1 Amortization'!O52</f>
        <v>1561.7287904636</v>
      </c>
      <c r="G35" s="12" t="n">
        <f aca="false">PV($B$8,B35,-$B$11)</f>
        <v>1546.40643980068</v>
      </c>
      <c r="H35" s="12" t="n">
        <f aca="false">ROUND(F35-G35,8)</f>
        <v>15.32235066</v>
      </c>
    </row>
    <row r="36" customFormat="false" ht="15" hidden="false" customHeight="false" outlineLevel="0" collapsed="false">
      <c r="A36" s="15" t="n">
        <f aca="false">A35+1</f>
        <v>18</v>
      </c>
      <c r="B36" s="15" t="n">
        <f aca="false">$B$9-A36</f>
        <v>6</v>
      </c>
      <c r="C36" s="25" t="n">
        <f aca="false">'1 Amortization'!G53</f>
        <v>1344.85169453675</v>
      </c>
      <c r="D36" s="12" t="n">
        <f aca="false">PV($B$8,B36,-$B$10)</f>
        <v>1344.85169453676</v>
      </c>
      <c r="E36" s="12" t="n">
        <f aca="false">ROUND(C36-D36,8)</f>
        <v>-0</v>
      </c>
      <c r="F36" s="25" t="n">
        <f aca="false">'1 Amortization'!O53</f>
        <v>1342.4987216486</v>
      </c>
      <c r="G36" s="12" t="n">
        <f aca="false">PV($B$8,B36,-$B$11)</f>
        <v>1330.95300670631</v>
      </c>
      <c r="H36" s="12" t="n">
        <f aca="false">ROUND(F36-G36,8)</f>
        <v>11.54571494</v>
      </c>
    </row>
    <row r="37" customFormat="false" ht="15" hidden="false" customHeight="false" outlineLevel="0" collapsed="false">
      <c r="A37" s="15" t="n">
        <f aca="false">A36+1</f>
        <v>19</v>
      </c>
      <c r="B37" s="15" t="n">
        <f aca="false">$B$9-A37</f>
        <v>5</v>
      </c>
      <c r="C37" s="25" t="n">
        <f aca="false">'1 Amortization'!G54</f>
        <v>1125.33416030364</v>
      </c>
      <c r="D37" s="12" t="n">
        <f aca="false">PV($B$8,B37,-$B$10)</f>
        <v>1125.33416030365</v>
      </c>
      <c r="E37" s="12" t="n">
        <f aca="false">ROUND(C37-D37,8)</f>
        <v>-0</v>
      </c>
      <c r="F37" s="25" t="n">
        <f aca="false">'1 Amortization'!O54</f>
        <v>1121.98981076551</v>
      </c>
      <c r="G37" s="12" t="n">
        <f aca="false">PV($B$8,B37,-$B$11)</f>
        <v>1113.70412833616</v>
      </c>
      <c r="H37" s="12" t="n">
        <f aca="false">ROUND(F37-G37,8)</f>
        <v>8.28568243</v>
      </c>
    </row>
    <row r="38" customFormat="false" ht="15" hidden="false" customHeight="false" outlineLevel="0" collapsed="false">
      <c r="A38" s="15" t="n">
        <f aca="false">A37+1</f>
        <v>20</v>
      </c>
      <c r="B38" s="15" t="n">
        <f aca="false">$B$9-A38</f>
        <v>4</v>
      </c>
      <c r="C38" s="25" t="n">
        <f aca="false">'1 Amortization'!G55</f>
        <v>903.987313285252</v>
      </c>
      <c r="D38" s="12" t="n">
        <f aca="false">PV($B$8,B38,-$B$10)</f>
        <v>903.987313285268</v>
      </c>
      <c r="E38" s="12" t="n">
        <f aca="false">ROUND(C38-D38,8)</f>
        <v>-0</v>
      </c>
      <c r="F38" s="25" t="n">
        <f aca="false">'1 Amortization'!O55</f>
        <v>900.194597902266</v>
      </c>
      <c r="G38" s="12" t="n">
        <f aca="false">PV($B$8,B38,-$B$11)</f>
        <v>894.644842646252</v>
      </c>
      <c r="H38" s="12" t="n">
        <f aca="false">ROUND(F38-G38,8)</f>
        <v>5.54975526</v>
      </c>
    </row>
    <row r="39" customFormat="false" ht="15" hidden="false" customHeight="false" outlineLevel="0" collapsed="false">
      <c r="A39" s="15" t="n">
        <f aca="false">A38+1</f>
        <v>21</v>
      </c>
      <c r="B39" s="15" t="n">
        <f aca="false">$B$9-A39</f>
        <v>3</v>
      </c>
      <c r="C39" s="25" t="n">
        <f aca="false">'1 Amortization'!G56</f>
        <v>680.795909208379</v>
      </c>
      <c r="D39" s="12" t="n">
        <f aca="false">PV($B$8,B39,-$B$10)</f>
        <v>680.795909208394</v>
      </c>
      <c r="E39" s="12" t="n">
        <f aca="false">ROUND(C39-D39,8)</f>
        <v>-0</v>
      </c>
      <c r="F39" s="25" t="n">
        <f aca="false">'1 Amortization'!O56</f>
        <v>677.105579630655</v>
      </c>
      <c r="G39" s="12" t="n">
        <f aca="false">PV($B$8,B39,-$B$11)</f>
        <v>673.760062908929</v>
      </c>
      <c r="H39" s="12" t="n">
        <f aca="false">ROUND(F39-G39,8)</f>
        <v>3.34551672</v>
      </c>
    </row>
    <row r="40" customFormat="false" ht="15" hidden="false" customHeight="false" outlineLevel="0" collapsed="false">
      <c r="A40" s="15" t="n">
        <f aca="false">A39+1</f>
        <v>22</v>
      </c>
      <c r="B40" s="15" t="n">
        <f aca="false">$B$9-A40</f>
        <v>2</v>
      </c>
      <c r="C40" s="25" t="n">
        <f aca="false">'1 Amortization'!G57</f>
        <v>455.744576764199</v>
      </c>
      <c r="D40" s="12" t="n">
        <f aca="false">PV($B$8,B40,-$B$10)</f>
        <v>455.744576764217</v>
      </c>
      <c r="E40" s="12" t="n">
        <f aca="false">ROUND(C40-D40,8)</f>
        <v>-0</v>
      </c>
      <c r="F40" s="25" t="n">
        <f aca="false">'1 Amortization'!O57</f>
        <v>452.715208752459</v>
      </c>
      <c r="G40" s="12" t="n">
        <f aca="false">PV($B$8,B40,-$B$11)</f>
        <v>451.034576673799</v>
      </c>
      <c r="H40" s="12" t="n">
        <f aca="false">ROUND(F40-G40,8)</f>
        <v>1.68063208</v>
      </c>
    </row>
    <row r="41" customFormat="false" ht="15" hidden="false" customHeight="false" outlineLevel="0" collapsed="false">
      <c r="A41" s="15" t="n">
        <f aca="false">A40+1</f>
        <v>23</v>
      </c>
      <c r="B41" s="15" t="n">
        <f aca="false">$B$9-A41</f>
        <v>1</v>
      </c>
      <c r="C41" s="25" t="n">
        <f aca="false">'1 Amortization'!G58</f>
        <v>228.817816549651</v>
      </c>
      <c r="D41" s="12" t="n">
        <f aca="false">PV($B$8,B41,-$B$10)</f>
        <v>228.817816549669</v>
      </c>
      <c r="E41" s="12" t="n">
        <f aca="false">ROUND(C41-D41,8)</f>
        <v>-0</v>
      </c>
      <c r="F41" s="25" t="n">
        <f aca="false">'1 Amortization'!O58</f>
        <v>227.015894044141</v>
      </c>
      <c r="G41" s="12" t="n">
        <f aca="false">PV($B$8,B41,-$B$11)</f>
        <v>226.45304472004</v>
      </c>
      <c r="H41" s="12" t="n">
        <f aca="false">ROUND(F41-G41,8)</f>
        <v>0.56284932</v>
      </c>
    </row>
    <row r="42" customFormat="false" ht="15" hidden="false" customHeight="false" outlineLevel="0" collapsed="false">
      <c r="A42" s="15" t="n">
        <f aca="false">A41+1</f>
        <v>24</v>
      </c>
      <c r="B42" s="15" t="n">
        <f aca="false">$B$9-A42</f>
        <v>0</v>
      </c>
      <c r="C42" s="25" t="n">
        <f aca="false">'1 Amortization'!G59</f>
        <v>0</v>
      </c>
      <c r="D42" s="12" t="n">
        <f aca="false">PV($B$8,B42,-$B$10)</f>
        <v>-0</v>
      </c>
      <c r="E42" s="12" t="n">
        <f aca="false">ROUND(C42-D42,8)</f>
        <v>0</v>
      </c>
      <c r="F42" s="25" t="n">
        <f aca="false">'1 Amortization'!O59</f>
        <v>0</v>
      </c>
      <c r="G42" s="12" t="n">
        <f aca="false">PV($B$8,B42,-$B$11)</f>
        <v>-0</v>
      </c>
      <c r="H42" s="12" t="n">
        <f aca="false">ROUND(F42-G42,8)</f>
        <v>0</v>
      </c>
    </row>
    <row r="44" customFormat="false" ht="15" hidden="false" customHeight="false" outlineLevel="0" collapsed="false">
      <c r="A44" s="3" t="s">
        <v>90</v>
      </c>
    </row>
    <row r="45" customFormat="false" ht="27.75" hidden="false" customHeight="true" outlineLevel="0" collapsed="false">
      <c r="A45" s="4"/>
      <c r="B45" s="4" t="s">
        <v>75</v>
      </c>
      <c r="C45" s="4" t="s">
        <v>6</v>
      </c>
      <c r="D45" s="4"/>
      <c r="E45" s="4"/>
      <c r="F45" s="4"/>
      <c r="G45" s="4"/>
      <c r="H45" s="4"/>
    </row>
    <row r="46" customFormat="false" ht="30" hidden="false" customHeight="true" outlineLevel="0" collapsed="false">
      <c r="A46" s="5" t="s">
        <v>91</v>
      </c>
      <c r="B46" s="12" t="n">
        <f aca="false">MAX(MAX(E19:E42),-MIN(E19:E42))</f>
        <v>-0</v>
      </c>
      <c r="C46" s="7" t="s">
        <v>92</v>
      </c>
      <c r="D46" s="7"/>
      <c r="E46" s="7"/>
      <c r="F46" s="7"/>
      <c r="G46" s="7"/>
      <c r="H46" s="7"/>
    </row>
    <row r="47" customFormat="false" ht="30" hidden="false" customHeight="true" outlineLevel="0" collapsed="false">
      <c r="A47" s="5" t="s">
        <v>93</v>
      </c>
      <c r="B47" s="12" t="n">
        <f aca="false">H19</f>
        <v>140.18762961</v>
      </c>
      <c r="C47" s="7" t="s">
        <v>94</v>
      </c>
      <c r="D47" s="7"/>
      <c r="E47" s="7"/>
      <c r="F47" s="7"/>
      <c r="G47" s="7"/>
      <c r="H47" s="7"/>
    </row>
    <row r="48" customFormat="false" ht="30" hidden="false" customHeight="true" outlineLevel="0" collapsed="false">
      <c r="A48" s="5" t="s">
        <v>95</v>
      </c>
      <c r="B48" s="12" t="n">
        <f aca="false">$B$11*(1-(1+$B$8)^-(B30))/$B$8</f>
        <v>2597.25699893861</v>
      </c>
      <c r="C48" s="7" t="s">
        <v>96</v>
      </c>
      <c r="D48" s="7"/>
      <c r="E48" s="7"/>
      <c r="F48" s="7"/>
      <c r="G48" s="7"/>
      <c r="H48" s="7"/>
    </row>
    <row r="49" customFormat="false" ht="30" hidden="false" customHeight="true" outlineLevel="0" collapsed="false">
      <c r="A49" s="5" t="s">
        <v>97</v>
      </c>
      <c r="B49" s="12" t="n">
        <f aca="false">ROUND(B48-G30,8)</f>
        <v>0</v>
      </c>
      <c r="C49" s="7"/>
      <c r="D49" s="7"/>
      <c r="E49" s="7"/>
      <c r="F49" s="7"/>
      <c r="G49" s="7"/>
      <c r="H49" s="7"/>
    </row>
    <row r="51" customFormat="false" ht="15" hidden="false" customHeight="false" outlineLevel="0" collapsed="false">
      <c r="A51" s="3" t="s">
        <v>98</v>
      </c>
    </row>
    <row r="52" customFormat="false" ht="54" hidden="false" customHeight="true" outlineLevel="0" collapsed="false">
      <c r="A52" s="27" t="s">
        <v>99</v>
      </c>
      <c r="B52" s="27"/>
      <c r="C52" s="27"/>
      <c r="D52" s="27"/>
      <c r="E52" s="27"/>
      <c r="F52" s="27"/>
      <c r="G52" s="27"/>
      <c r="H52" s="27"/>
    </row>
    <row r="53" customFormat="false" ht="54" hidden="false" customHeight="true" outlineLevel="0" collapsed="false">
      <c r="A53" s="27" t="s">
        <v>100</v>
      </c>
      <c r="B53" s="27"/>
      <c r="C53" s="27"/>
      <c r="D53" s="27"/>
      <c r="E53" s="27"/>
      <c r="F53" s="27"/>
      <c r="G53" s="27"/>
      <c r="H53" s="27"/>
    </row>
    <row r="54" customFormat="false" ht="54" hidden="false" customHeight="true" outlineLevel="0" collapsed="false">
      <c r="A54" s="27" t="s">
        <v>101</v>
      </c>
      <c r="B54" s="27"/>
      <c r="C54" s="27"/>
      <c r="D54" s="27"/>
      <c r="E54" s="27"/>
      <c r="F54" s="27"/>
      <c r="G54" s="27"/>
      <c r="H54" s="27"/>
    </row>
    <row r="55" customFormat="false" ht="54" hidden="false" customHeight="true" outlineLevel="0" collapsed="false">
      <c r="A55" s="27" t="s">
        <v>102</v>
      </c>
      <c r="B55" s="27"/>
      <c r="C55" s="27"/>
      <c r="D55" s="27"/>
      <c r="E55" s="27"/>
      <c r="F55" s="27"/>
      <c r="G55" s="27"/>
      <c r="H55" s="27"/>
    </row>
  </sheetData>
  <mergeCells count="21">
    <mergeCell ref="A2:H2"/>
    <mergeCell ref="A3:H3"/>
    <mergeCell ref="C6:H6"/>
    <mergeCell ref="C7:H7"/>
    <mergeCell ref="C8:H8"/>
    <mergeCell ref="C9:H9"/>
    <mergeCell ref="C10:H10"/>
    <mergeCell ref="C11:H11"/>
    <mergeCell ref="A14:H14"/>
    <mergeCell ref="A15:H15"/>
    <mergeCell ref="C17:E17"/>
    <mergeCell ref="F17:H17"/>
    <mergeCell ref="C45:H45"/>
    <mergeCell ref="C46:H46"/>
    <mergeCell ref="C47:H47"/>
    <mergeCell ref="C48:H48"/>
    <mergeCell ref="C49:H49"/>
    <mergeCell ref="A52:H52"/>
    <mergeCell ref="A53:H53"/>
    <mergeCell ref="A54:H54"/>
    <mergeCell ref="A55:H55"/>
  </mergeCells>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50" man="true" max="16383" min="0"/>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14"/>
    <col collapsed="false" customWidth="true" hidden="false" outlineLevel="0" max="5" min="4" style="0" width="15"/>
    <col collapsed="false" customWidth="true" hidden="false" outlineLevel="0" max="7" min="6" style="0" width="16"/>
    <col collapsed="false" customWidth="true" hidden="false" outlineLevel="0" max="8" min="8" style="0" width="15"/>
    <col collapsed="false" customWidth="true" hidden="false" outlineLevel="0" max="9" min="9" style="0" width="14"/>
    <col collapsed="false" customWidth="true" hidden="false" outlineLevel="0" max="10" min="10" style="0" width="15"/>
    <col collapsed="false" customWidth="true" hidden="false" outlineLevel="0" max="11" min="11" style="0" width="16"/>
    <col collapsed="false" customWidth="true" hidden="false" outlineLevel="0" max="12" min="12" style="0" width="15"/>
    <col collapsed="false" customWidth="true" hidden="false" outlineLevel="0" max="15" min="13" style="0" width="16"/>
    <col collapsed="false" customWidth="true" hidden="false" outlineLevel="0" max="16" min="16" style="0" width="12"/>
    <col collapsed="false" customWidth="true" hidden="false" outlineLevel="0" max="17" min="17" style="0" width="16"/>
  </cols>
  <sheetData>
    <row r="1" customFormat="false" ht="18" hidden="false" customHeight="true" outlineLevel="0" collapsed="false">
      <c r="A1" s="1" t="s">
        <v>103</v>
      </c>
    </row>
    <row r="2" customFormat="false" ht="30" hidden="false" customHeight="true" outlineLevel="0" collapsed="false">
      <c r="A2" s="2" t="s">
        <v>104</v>
      </c>
      <c r="B2" s="2"/>
      <c r="C2" s="2"/>
      <c r="D2" s="2"/>
      <c r="E2" s="2"/>
      <c r="F2" s="2"/>
      <c r="G2" s="2"/>
      <c r="H2" s="2"/>
      <c r="I2" s="2"/>
      <c r="J2" s="2"/>
      <c r="K2" s="2"/>
      <c r="L2" s="2"/>
      <c r="M2" s="2"/>
      <c r="N2" s="2"/>
      <c r="O2" s="2"/>
      <c r="P2" s="2"/>
      <c r="Q2" s="2"/>
    </row>
    <row r="3" customFormat="false" ht="15" hidden="false" customHeight="true" outlineLevel="0" collapsed="false">
      <c r="A3" s="2" t="s">
        <v>2</v>
      </c>
      <c r="B3" s="2"/>
      <c r="C3" s="2"/>
      <c r="D3" s="2"/>
      <c r="E3" s="2"/>
      <c r="F3" s="2"/>
      <c r="G3" s="2"/>
      <c r="H3" s="2"/>
      <c r="I3" s="2"/>
      <c r="J3" s="2"/>
      <c r="K3" s="2"/>
      <c r="L3" s="2"/>
      <c r="M3" s="2"/>
      <c r="N3" s="2"/>
      <c r="O3" s="2"/>
      <c r="P3" s="2"/>
      <c r="Q3" s="2"/>
    </row>
    <row r="5" customFormat="false" ht="15" hidden="false" customHeight="false" outlineLevel="0" collapsed="false">
      <c r="A5" s="3" t="s">
        <v>3</v>
      </c>
    </row>
    <row r="6" customFormat="false" ht="27.75" hidden="false" customHeight="true" outlineLevel="0" collapsed="false">
      <c r="A6" s="4"/>
      <c r="B6" s="4" t="s">
        <v>75</v>
      </c>
      <c r="C6" s="4" t="s">
        <v>105</v>
      </c>
      <c r="D6" s="4" t="s">
        <v>6</v>
      </c>
      <c r="E6" s="4"/>
      <c r="F6" s="4"/>
      <c r="G6" s="4"/>
      <c r="H6" s="4"/>
      <c r="I6" s="4"/>
      <c r="J6" s="4"/>
      <c r="K6" s="4"/>
    </row>
    <row r="7" customFormat="false" ht="15.75" hidden="false" customHeight="true" outlineLevel="0" collapsed="false">
      <c r="A7" s="5" t="s">
        <v>106</v>
      </c>
      <c r="B7" s="9" t="n">
        <v>1000</v>
      </c>
      <c r="C7" s="28"/>
      <c r="D7" s="7" t="s">
        <v>14</v>
      </c>
      <c r="E7" s="7"/>
      <c r="F7" s="7"/>
      <c r="G7" s="7"/>
      <c r="H7" s="7"/>
      <c r="I7" s="7"/>
      <c r="J7" s="7"/>
      <c r="K7" s="7"/>
    </row>
    <row r="8" customFormat="false" ht="15.75" hidden="false" customHeight="true" outlineLevel="0" collapsed="false">
      <c r="A8" s="5" t="s">
        <v>107</v>
      </c>
      <c r="B8" s="25" t="n">
        <f aca="false">'1 Amortization'!C7</f>
        <v>5000</v>
      </c>
      <c r="C8" s="28"/>
      <c r="D8" s="7" t="s">
        <v>108</v>
      </c>
      <c r="E8" s="7"/>
      <c r="F8" s="7"/>
      <c r="G8" s="7"/>
      <c r="H8" s="7"/>
      <c r="I8" s="7"/>
      <c r="J8" s="7"/>
      <c r="K8" s="7"/>
    </row>
    <row r="9" customFormat="false" ht="30" hidden="false" customHeight="true" outlineLevel="0" collapsed="false">
      <c r="A9" s="5" t="s">
        <v>109</v>
      </c>
      <c r="B9" s="8" t="n">
        <v>0.07</v>
      </c>
      <c r="C9" s="10" t="n">
        <f aca="false">B9/12</f>
        <v>0.00583333333333333</v>
      </c>
      <c r="D9" s="7" t="s">
        <v>110</v>
      </c>
      <c r="E9" s="7"/>
      <c r="F9" s="7"/>
      <c r="G9" s="7"/>
      <c r="H9" s="7"/>
      <c r="I9" s="7"/>
      <c r="J9" s="7"/>
      <c r="K9" s="7"/>
    </row>
    <row r="10" customFormat="false" ht="30" hidden="false" customHeight="true" outlineLevel="0" collapsed="false">
      <c r="A10" s="5" t="s">
        <v>15</v>
      </c>
      <c r="B10" s="8" t="n">
        <v>0.02</v>
      </c>
      <c r="C10" s="28"/>
      <c r="D10" s="7" t="s">
        <v>111</v>
      </c>
      <c r="E10" s="7"/>
      <c r="F10" s="7"/>
      <c r="G10" s="7"/>
      <c r="H10" s="7"/>
      <c r="I10" s="7"/>
      <c r="J10" s="7"/>
      <c r="K10" s="7"/>
    </row>
    <row r="11" customFormat="false" ht="15.75" hidden="false" customHeight="true" outlineLevel="0" collapsed="false">
      <c r="A11" s="5" t="s">
        <v>112</v>
      </c>
      <c r="B11" s="24" t="n">
        <f aca="false">'1 Amortization'!C16</f>
        <v>24</v>
      </c>
      <c r="C11" s="28"/>
      <c r="D11" s="7"/>
      <c r="E11" s="7"/>
      <c r="F11" s="7"/>
      <c r="G11" s="7"/>
      <c r="H11" s="7"/>
      <c r="I11" s="7"/>
      <c r="J11" s="7"/>
      <c r="K11" s="7"/>
    </row>
    <row r="12" customFormat="false" ht="30" hidden="false" customHeight="true" outlineLevel="0" collapsed="false">
      <c r="A12" s="5" t="s">
        <v>113</v>
      </c>
      <c r="B12" s="8" t="n">
        <v>0.02</v>
      </c>
      <c r="C12" s="10" t="n">
        <f aca="false">B12/12</f>
        <v>0.00166666666666667</v>
      </c>
      <c r="D12" s="7" t="s">
        <v>114</v>
      </c>
      <c r="E12" s="7"/>
      <c r="F12" s="7"/>
      <c r="G12" s="7"/>
      <c r="H12" s="7"/>
      <c r="I12" s="7"/>
      <c r="J12" s="7"/>
      <c r="K12" s="7"/>
    </row>
    <row r="13" customFormat="false" ht="15.75" hidden="false" customHeight="true" outlineLevel="0" collapsed="false">
      <c r="A13" s="5" t="s">
        <v>115</v>
      </c>
      <c r="B13" s="8" t="n">
        <v>0.06</v>
      </c>
      <c r="C13" s="10" t="n">
        <f aca="false">B13/12</f>
        <v>0.005</v>
      </c>
      <c r="D13" s="7" t="s">
        <v>116</v>
      </c>
      <c r="E13" s="7"/>
      <c r="F13" s="7"/>
      <c r="G13" s="7"/>
      <c r="H13" s="7"/>
      <c r="I13" s="7"/>
      <c r="J13" s="7"/>
      <c r="K13" s="7"/>
    </row>
    <row r="14" customFormat="false" ht="15.75" hidden="false" customHeight="true" outlineLevel="0" collapsed="false">
      <c r="A14" s="5" t="s">
        <v>117</v>
      </c>
      <c r="B14" s="8" t="n">
        <v>0</v>
      </c>
      <c r="C14" s="28"/>
      <c r="D14" s="7" t="s">
        <v>118</v>
      </c>
      <c r="E14" s="7"/>
      <c r="F14" s="7"/>
      <c r="G14" s="7"/>
      <c r="H14" s="7"/>
      <c r="I14" s="7"/>
      <c r="J14" s="7"/>
      <c r="K14" s="7"/>
    </row>
    <row r="15" customFormat="false" ht="30" hidden="false" customHeight="true" outlineLevel="0" collapsed="false">
      <c r="A15" s="5" t="s">
        <v>119</v>
      </c>
      <c r="B15" s="8" t="n">
        <v>0.01</v>
      </c>
      <c r="C15" s="28"/>
      <c r="D15" s="7" t="s">
        <v>120</v>
      </c>
      <c r="E15" s="7"/>
      <c r="F15" s="7"/>
      <c r="G15" s="7"/>
      <c r="H15" s="7"/>
      <c r="I15" s="7"/>
      <c r="J15" s="7"/>
      <c r="K15" s="7"/>
    </row>
    <row r="17" customFormat="false" ht="23.85" hidden="false" customHeight="false" outlineLevel="0" collapsed="false">
      <c r="A17" s="5" t="s">
        <v>121</v>
      </c>
      <c r="B17" s="29" t="b">
        <f aca="false">B9='1 Amortization'!C8</f>
        <v>1</v>
      </c>
      <c r="C17" s="29" t="b">
        <f aca="false">B10='1 Amortization'!C11</f>
        <v>1</v>
      </c>
      <c r="D17" s="30"/>
      <c r="E17" s="30"/>
      <c r="F17" s="30"/>
      <c r="G17" s="30"/>
      <c r="H17" s="30"/>
      <c r="I17" s="30"/>
      <c r="J17" s="30"/>
      <c r="K17" s="30"/>
    </row>
    <row r="19" customFormat="false" ht="15" hidden="false" customHeight="false" outlineLevel="0" collapsed="false">
      <c r="A19" s="3" t="s">
        <v>122</v>
      </c>
    </row>
    <row r="20" customFormat="false" ht="27.75" hidden="false" customHeight="true" outlineLevel="0" collapsed="false">
      <c r="A20" s="4"/>
      <c r="B20" s="4" t="s">
        <v>75</v>
      </c>
      <c r="C20" s="4" t="s">
        <v>18</v>
      </c>
      <c r="D20" s="4"/>
      <c r="E20" s="4"/>
      <c r="F20" s="4"/>
      <c r="G20" s="4"/>
      <c r="H20" s="4"/>
      <c r="I20" s="4"/>
      <c r="J20" s="4"/>
      <c r="K20" s="4"/>
    </row>
    <row r="21" customFormat="false" ht="27.75" hidden="false" customHeight="true" outlineLevel="0" collapsed="false">
      <c r="A21" s="5" t="s">
        <v>123</v>
      </c>
      <c r="B21" s="12" t="n">
        <f aca="false">B8*(1+B10)</f>
        <v>5100</v>
      </c>
      <c r="C21" s="7" t="s">
        <v>124</v>
      </c>
      <c r="D21" s="7"/>
      <c r="E21" s="7"/>
      <c r="F21" s="7"/>
      <c r="G21" s="7"/>
      <c r="H21" s="7"/>
      <c r="I21" s="7"/>
      <c r="J21" s="7"/>
      <c r="K21" s="7"/>
    </row>
    <row r="22" customFormat="false" ht="27.75" hidden="false" customHeight="true" outlineLevel="0" collapsed="false">
      <c r="A22" s="5" t="s">
        <v>125</v>
      </c>
      <c r="B22" s="12" t="n">
        <f aca="false">B21*C9/(1-(1+C9)^-B11)</f>
        <v>228.340153426041</v>
      </c>
      <c r="C22" s="7" t="s">
        <v>126</v>
      </c>
      <c r="D22" s="7"/>
      <c r="E22" s="7"/>
      <c r="F22" s="7"/>
      <c r="G22" s="7"/>
      <c r="H22" s="7"/>
      <c r="I22" s="7"/>
      <c r="J22" s="7"/>
      <c r="K22" s="7"/>
    </row>
    <row r="23" customFormat="false" ht="27.75" hidden="false" customHeight="true" outlineLevel="0" collapsed="false">
      <c r="A23" s="5" t="s">
        <v>127</v>
      </c>
      <c r="B23" s="12" t="n">
        <f aca="false">ROUND(B22-'1 Amortization'!C27,8)</f>
        <v>0</v>
      </c>
      <c r="C23" s="7"/>
      <c r="D23" s="7"/>
      <c r="E23" s="7"/>
      <c r="F23" s="7"/>
      <c r="G23" s="7"/>
      <c r="H23" s="7"/>
      <c r="I23" s="7"/>
      <c r="J23" s="7"/>
      <c r="K23" s="7"/>
    </row>
    <row r="24" customFormat="false" ht="27.75" hidden="false" customHeight="true" outlineLevel="0" collapsed="false">
      <c r="A24" s="5" t="s">
        <v>128</v>
      </c>
      <c r="B24" s="31" t="n">
        <f aca="false">(1-C13)*(1-B15)</f>
        <v>0.98505</v>
      </c>
      <c r="C24" s="7" t="s">
        <v>129</v>
      </c>
      <c r="D24" s="7"/>
      <c r="E24" s="7"/>
      <c r="F24" s="7"/>
      <c r="G24" s="7"/>
      <c r="H24" s="7"/>
      <c r="I24" s="7"/>
      <c r="J24" s="7"/>
      <c r="K24" s="7"/>
    </row>
    <row r="26" customFormat="false" ht="15" hidden="false" customHeight="false" outlineLevel="0" collapsed="false">
      <c r="A26" s="3" t="s">
        <v>130</v>
      </c>
    </row>
    <row r="27" customFormat="false" ht="30" hidden="false" customHeight="true" outlineLevel="0" collapsed="false">
      <c r="A27" s="27" t="s">
        <v>131</v>
      </c>
      <c r="B27" s="27"/>
      <c r="C27" s="27"/>
      <c r="D27" s="27"/>
      <c r="E27" s="27"/>
      <c r="F27" s="27"/>
      <c r="G27" s="27"/>
      <c r="H27" s="27"/>
      <c r="I27" s="27"/>
      <c r="J27" s="27"/>
      <c r="K27" s="27"/>
      <c r="L27" s="27"/>
      <c r="M27" s="27"/>
      <c r="N27" s="27"/>
      <c r="O27" s="27"/>
      <c r="P27" s="27"/>
      <c r="Q27" s="27"/>
    </row>
    <row r="28" customFormat="false" ht="15.75" hidden="false" customHeight="true" outlineLevel="0" collapsed="false">
      <c r="A28" s="27" t="s">
        <v>132</v>
      </c>
      <c r="B28" s="27"/>
      <c r="C28" s="27"/>
      <c r="D28" s="27"/>
      <c r="E28" s="27"/>
      <c r="F28" s="27"/>
      <c r="G28" s="27"/>
      <c r="H28" s="27"/>
      <c r="I28" s="27"/>
      <c r="J28" s="27"/>
      <c r="K28" s="27"/>
      <c r="L28" s="27"/>
      <c r="M28" s="27"/>
      <c r="N28" s="27"/>
      <c r="O28" s="27"/>
      <c r="P28" s="27"/>
      <c r="Q28" s="27"/>
    </row>
    <row r="29" customFormat="false" ht="43.5" hidden="false" customHeight="true" outlineLevel="0" collapsed="false">
      <c r="A29" s="27" t="s">
        <v>133</v>
      </c>
      <c r="B29" s="27"/>
      <c r="C29" s="27"/>
      <c r="D29" s="27"/>
      <c r="E29" s="27"/>
      <c r="F29" s="27"/>
      <c r="G29" s="27"/>
      <c r="H29" s="27"/>
      <c r="I29" s="27"/>
      <c r="J29" s="27"/>
      <c r="K29" s="27"/>
      <c r="L29" s="27"/>
      <c r="M29" s="27"/>
      <c r="N29" s="27"/>
      <c r="O29" s="27"/>
      <c r="P29" s="27"/>
      <c r="Q29" s="27"/>
    </row>
    <row r="30" customFormat="false" ht="15.75" hidden="false" customHeight="true" outlineLevel="0" collapsed="false">
      <c r="A30" s="27" t="s">
        <v>134</v>
      </c>
      <c r="B30" s="27"/>
      <c r="C30" s="27"/>
      <c r="D30" s="27"/>
      <c r="E30" s="27"/>
      <c r="F30" s="27"/>
      <c r="G30" s="27"/>
      <c r="H30" s="27"/>
      <c r="I30" s="27"/>
      <c r="J30" s="27"/>
      <c r="K30" s="27"/>
      <c r="L30" s="27"/>
      <c r="M30" s="27"/>
      <c r="N30" s="27"/>
      <c r="O30" s="27"/>
      <c r="P30" s="27"/>
      <c r="Q30" s="27"/>
    </row>
    <row r="31" customFormat="false" ht="15.75" hidden="false" customHeight="true" outlineLevel="0" collapsed="false">
      <c r="A31" s="27" t="s">
        <v>135</v>
      </c>
      <c r="B31" s="27"/>
      <c r="C31" s="27"/>
      <c r="D31" s="27"/>
      <c r="E31" s="27"/>
      <c r="F31" s="27"/>
      <c r="G31" s="27"/>
      <c r="H31" s="27"/>
      <c r="I31" s="27"/>
      <c r="J31" s="27"/>
      <c r="K31" s="27"/>
      <c r="L31" s="27"/>
      <c r="M31" s="27"/>
      <c r="N31" s="27"/>
      <c r="O31" s="27"/>
      <c r="P31" s="27"/>
      <c r="Q31" s="27"/>
    </row>
    <row r="32" customFormat="false" ht="15" hidden="false" customHeight="false" outlineLevel="0" collapsed="false">
      <c r="A32" s="3" t="s">
        <v>136</v>
      </c>
    </row>
    <row r="33" customFormat="false" ht="39.75" hidden="false" customHeight="true" outlineLevel="0" collapsed="false">
      <c r="A33" s="26"/>
      <c r="B33" s="14" t="s">
        <v>137</v>
      </c>
      <c r="C33" s="14"/>
      <c r="D33" s="14"/>
      <c r="E33" s="14"/>
      <c r="F33" s="14" t="s">
        <v>138</v>
      </c>
      <c r="G33" s="14"/>
      <c r="H33" s="14"/>
      <c r="I33" s="14"/>
      <c r="J33" s="14"/>
      <c r="K33" s="14"/>
      <c r="L33" s="14"/>
      <c r="M33" s="14"/>
      <c r="N33" s="14"/>
      <c r="O33" s="14"/>
      <c r="P33" s="14"/>
      <c r="Q33" s="14"/>
    </row>
    <row r="34" customFormat="false" ht="96" hidden="false" customHeight="true" outlineLevel="0" collapsed="false">
      <c r="A34" s="4" t="s">
        <v>139</v>
      </c>
      <c r="B34" s="4" t="s">
        <v>140</v>
      </c>
      <c r="C34" s="4" t="s">
        <v>141</v>
      </c>
      <c r="D34" s="4" t="s">
        <v>142</v>
      </c>
      <c r="E34" s="4" t="s">
        <v>143</v>
      </c>
      <c r="F34" s="4" t="s">
        <v>144</v>
      </c>
      <c r="G34" s="4" t="s">
        <v>145</v>
      </c>
      <c r="H34" s="4" t="s">
        <v>146</v>
      </c>
      <c r="I34" s="4" t="s">
        <v>147</v>
      </c>
      <c r="J34" s="4" t="s">
        <v>148</v>
      </c>
      <c r="K34" s="4" t="s">
        <v>149</v>
      </c>
      <c r="L34" s="4" t="s">
        <v>150</v>
      </c>
      <c r="M34" s="4" t="s">
        <v>151</v>
      </c>
      <c r="N34" s="4" t="s">
        <v>152</v>
      </c>
      <c r="O34" s="4" t="s">
        <v>153</v>
      </c>
      <c r="P34" s="4" t="s">
        <v>154</v>
      </c>
      <c r="Q34" s="4" t="s">
        <v>155</v>
      </c>
    </row>
    <row r="35" customFormat="false" ht="15" hidden="false" customHeight="false" outlineLevel="0" collapsed="false">
      <c r="A35" s="15" t="n">
        <v>1</v>
      </c>
      <c r="B35" s="12" t="n">
        <f aca="false">$B$21</f>
        <v>5100</v>
      </c>
      <c r="C35" s="12" t="n">
        <f aca="false">B35*$C$9</f>
        <v>29.75</v>
      </c>
      <c r="D35" s="12" t="n">
        <f aca="false">IF(A35&lt;$B$11,$B$22-C35,B35)</f>
        <v>198.590153426041</v>
      </c>
      <c r="E35" s="12" t="n">
        <f aca="false">B35-D35</f>
        <v>4901.40984657396</v>
      </c>
      <c r="F35" s="32" t="n">
        <f aca="false">$B$7</f>
        <v>1000</v>
      </c>
      <c r="G35" s="12" t="n">
        <f aca="false">F35*B35</f>
        <v>5100000</v>
      </c>
      <c r="H35" s="12" t="n">
        <f aca="false">$C$13*G35</f>
        <v>25500</v>
      </c>
      <c r="I35" s="12" t="n">
        <f aca="false">$B$14*H35</f>
        <v>0</v>
      </c>
      <c r="J35" s="12" t="n">
        <f aca="false">(1-$C$13)*F35*C35</f>
        <v>29601.25</v>
      </c>
      <c r="K35" s="12" t="n">
        <f aca="false">(1-$C$13)*F35*D35</f>
        <v>197597.202658911</v>
      </c>
      <c r="L35" s="12" t="n">
        <f aca="false">$B$15*(1-$C$13)*F35*E35</f>
        <v>48769.0279734109</v>
      </c>
      <c r="M35" s="12" t="n">
        <f aca="false">K35+L35</f>
        <v>246366.230632321</v>
      </c>
      <c r="N35" s="12" t="n">
        <f aca="false">I35+J35+M35</f>
        <v>275967.480632321</v>
      </c>
      <c r="O35" s="12" t="n">
        <f aca="false">G35-H35-M35</f>
        <v>4828133.76936768</v>
      </c>
      <c r="P35" s="13" t="n">
        <f aca="false">1/(1+$C$12)^A35</f>
        <v>0.998336106489185</v>
      </c>
      <c r="Q35" s="12" t="n">
        <f aca="false">N35*P35</f>
        <v>275508.300132101</v>
      </c>
    </row>
    <row r="36" customFormat="false" ht="15" hidden="false" customHeight="false" outlineLevel="0" collapsed="false">
      <c r="A36" s="15" t="n">
        <f aca="false">A35+1</f>
        <v>2</v>
      </c>
      <c r="B36" s="12" t="n">
        <f aca="false">E35</f>
        <v>4901.40984657396</v>
      </c>
      <c r="C36" s="12" t="n">
        <f aca="false">B36*$C$9</f>
        <v>28.5915574383481</v>
      </c>
      <c r="D36" s="12" t="n">
        <f aca="false">IF(A36&lt;$B$11,$B$22-C36,B36)</f>
        <v>199.748595987693</v>
      </c>
      <c r="E36" s="12" t="n">
        <f aca="false">B36-D36</f>
        <v>4701.66125058627</v>
      </c>
      <c r="F36" s="32" t="n">
        <f aca="false">F35*$B$24</f>
        <v>985.05</v>
      </c>
      <c r="G36" s="12" t="n">
        <f aca="false">F36*B36</f>
        <v>4828133.76936768</v>
      </c>
      <c r="H36" s="12" t="n">
        <f aca="false">$C$13*G36</f>
        <v>24140.6688468384</v>
      </c>
      <c r="I36" s="12" t="n">
        <f aca="false">$B$14*H36</f>
        <v>0</v>
      </c>
      <c r="J36" s="12" t="n">
        <f aca="false">(1-$C$13)*F36*C36</f>
        <v>28023.2930863716</v>
      </c>
      <c r="K36" s="12" t="n">
        <f aca="false">(1-$C$13)*F36*D36</f>
        <v>195778.542705288</v>
      </c>
      <c r="L36" s="12" t="n">
        <f aca="false">$B$15*(1-$C$13)*F36*E36</f>
        <v>46082.1455781555</v>
      </c>
      <c r="M36" s="12" t="n">
        <f aca="false">K36+L36</f>
        <v>241860.688283444</v>
      </c>
      <c r="N36" s="12" t="n">
        <f aca="false">I36+J36+M36</f>
        <v>269883.981369815</v>
      </c>
      <c r="O36" s="12" t="n">
        <f aca="false">G36-H36-M36</f>
        <v>4562132.4122374</v>
      </c>
      <c r="P36" s="13" t="n">
        <f aca="false">1/(1+$C$12)^A36</f>
        <v>0.996674981519985</v>
      </c>
      <c r="Q36" s="12" t="n">
        <f aca="false">N36*P36</f>
        <v>268986.612144301</v>
      </c>
    </row>
    <row r="37" customFormat="false" ht="15" hidden="false" customHeight="false" outlineLevel="0" collapsed="false">
      <c r="A37" s="15" t="n">
        <f aca="false">A36+1</f>
        <v>3</v>
      </c>
      <c r="B37" s="12" t="n">
        <f aca="false">E36</f>
        <v>4701.66125058627</v>
      </c>
      <c r="C37" s="12" t="n">
        <f aca="false">B37*$C$9</f>
        <v>27.4263572950866</v>
      </c>
      <c r="D37" s="12" t="n">
        <f aca="false">IF(A37&lt;$B$11,$B$22-C37,B37)</f>
        <v>200.913796130954</v>
      </c>
      <c r="E37" s="12" t="n">
        <f aca="false">B37-D37</f>
        <v>4500.74745445531</v>
      </c>
      <c r="F37" s="32" t="n">
        <f aca="false">F36*$B$24</f>
        <v>970.3235025</v>
      </c>
      <c r="G37" s="12" t="n">
        <f aca="false">F37*B37</f>
        <v>4562132.4122374</v>
      </c>
      <c r="H37" s="12" t="n">
        <f aca="false">$C$13*G37</f>
        <v>22810.662061187</v>
      </c>
      <c r="I37" s="12" t="n">
        <f aca="false">$B$14*H37</f>
        <v>0</v>
      </c>
      <c r="J37" s="12" t="n">
        <f aca="false">(1-$C$13)*F37*C37</f>
        <v>26479.3768760279</v>
      </c>
      <c r="K37" s="12" t="n">
        <f aca="false">(1-$C$13)*F37*D37</f>
        <v>193976.621470547</v>
      </c>
      <c r="L37" s="12" t="n">
        <f aca="false">$B$15*(1-$C$13)*F37*E37</f>
        <v>43453.4512870566</v>
      </c>
      <c r="M37" s="12" t="n">
        <f aca="false">K37+L37</f>
        <v>237430.072757603</v>
      </c>
      <c r="N37" s="12" t="n">
        <f aca="false">I37+J37+M37</f>
        <v>263909.449633631</v>
      </c>
      <c r="O37" s="12" t="n">
        <f aca="false">G37-H37-M37</f>
        <v>4301891.67741861</v>
      </c>
      <c r="P37" s="13" t="n">
        <f aca="false">1/(1+$C$12)^A37</f>
        <v>0.995016620485842</v>
      </c>
      <c r="Q37" s="12" t="n">
        <f aca="false">N37*P37</f>
        <v>262594.288688734</v>
      </c>
    </row>
    <row r="38" customFormat="false" ht="15" hidden="false" customHeight="false" outlineLevel="0" collapsed="false">
      <c r="A38" s="15" t="n">
        <f aca="false">A37+1</f>
        <v>4</v>
      </c>
      <c r="B38" s="12" t="n">
        <f aca="false">E37</f>
        <v>4500.74745445531</v>
      </c>
      <c r="C38" s="12" t="n">
        <f aca="false">B38*$C$9</f>
        <v>26.2543601509893</v>
      </c>
      <c r="D38" s="12" t="n">
        <f aca="false">IF(A38&lt;$B$11,$B$22-C38,B38)</f>
        <v>202.085793275051</v>
      </c>
      <c r="E38" s="12" t="n">
        <f aca="false">B38-D38</f>
        <v>4298.66166118026</v>
      </c>
      <c r="F38" s="32" t="n">
        <f aca="false">F37*$B$24</f>
        <v>955.817166137625</v>
      </c>
      <c r="G38" s="12" t="n">
        <f aca="false">F38*B38</f>
        <v>4301891.67741861</v>
      </c>
      <c r="H38" s="12" t="n">
        <f aca="false">$C$13*G38</f>
        <v>21509.458387093</v>
      </c>
      <c r="I38" s="12" t="n">
        <f aca="false">$B$14*H38</f>
        <v>0</v>
      </c>
      <c r="J38" s="12" t="n">
        <f aca="false">(1-$C$13)*F38*C38</f>
        <v>24968.8962776838</v>
      </c>
      <c r="K38" s="12" t="n">
        <f aca="false">(1-$C$13)*F38*D38</f>
        <v>192191.284893609</v>
      </c>
      <c r="L38" s="12" t="n">
        <f aca="false">$B$15*(1-$C$13)*F38*E38</f>
        <v>40881.909341379</v>
      </c>
      <c r="M38" s="12" t="n">
        <f aca="false">K38+L38</f>
        <v>233073.194234988</v>
      </c>
      <c r="N38" s="12" t="n">
        <f aca="false">I38+J38+M38</f>
        <v>258042.090512672</v>
      </c>
      <c r="O38" s="12" t="n">
        <f aca="false">G38-H38-M38</f>
        <v>4047309.02479652</v>
      </c>
      <c r="P38" s="13" t="n">
        <f aca="false">1/(1+$C$12)^A38</f>
        <v>0.993361018787862</v>
      </c>
      <c r="Q38" s="12" t="n">
        <f aca="false">N38*P38</f>
        <v>256328.953921818</v>
      </c>
    </row>
    <row r="39" customFormat="false" ht="15" hidden="false" customHeight="false" outlineLevel="0" collapsed="false">
      <c r="A39" s="15" t="n">
        <f aca="false">A38+1</f>
        <v>5</v>
      </c>
      <c r="B39" s="12" t="n">
        <f aca="false">E38</f>
        <v>4298.66166118026</v>
      </c>
      <c r="C39" s="12" t="n">
        <f aca="false">B39*$C$9</f>
        <v>25.0755263568849</v>
      </c>
      <c r="D39" s="12" t="n">
        <f aca="false">IF(A39&lt;$B$11,$B$22-C39,B39)</f>
        <v>203.264627069156</v>
      </c>
      <c r="E39" s="12" t="n">
        <f aca="false">B39-D39</f>
        <v>4095.39703411111</v>
      </c>
      <c r="F39" s="32" t="n">
        <f aca="false">F38*$B$24</f>
        <v>941.527699503867</v>
      </c>
      <c r="G39" s="12" t="n">
        <f aca="false">F39*B39</f>
        <v>4047309.02479652</v>
      </c>
      <c r="H39" s="12" t="n">
        <f aca="false">$C$13*G39</f>
        <v>20236.5451239826</v>
      </c>
      <c r="I39" s="12" t="n">
        <f aca="false">$B$14*H39</f>
        <v>0</v>
      </c>
      <c r="J39" s="12" t="n">
        <f aca="false">(1-$C$13)*F39*C39</f>
        <v>23491.2561314232</v>
      </c>
      <c r="K39" s="12" t="n">
        <f aca="false">(1-$C$13)*F39*D39</f>
        <v>190422.380331359</v>
      </c>
      <c r="L39" s="12" t="n">
        <f aca="false">$B$15*(1-$C$13)*F39*E39</f>
        <v>38366.5009934118</v>
      </c>
      <c r="M39" s="12" t="n">
        <f aca="false">K39+L39</f>
        <v>228788.881324771</v>
      </c>
      <c r="N39" s="12" t="n">
        <f aca="false">I39+J39+M39</f>
        <v>252280.137456194</v>
      </c>
      <c r="O39" s="12" t="n">
        <f aca="false">G39-H39-M39</f>
        <v>3798283.59834777</v>
      </c>
      <c r="P39" s="13" t="n">
        <f aca="false">1/(1+$C$12)^A39</f>
        <v>0.991708171834804</v>
      </c>
      <c r="Q39" s="12" t="n">
        <f aca="false">N39*P39</f>
        <v>250188.273906915</v>
      </c>
    </row>
    <row r="40" customFormat="false" ht="15" hidden="false" customHeight="false" outlineLevel="0" collapsed="false">
      <c r="A40" s="15" t="n">
        <f aca="false">A39+1</f>
        <v>6</v>
      </c>
      <c r="B40" s="12" t="n">
        <f aca="false">E39</f>
        <v>4095.39703411111</v>
      </c>
      <c r="C40" s="12" t="n">
        <f aca="false">B40*$C$9</f>
        <v>23.8898160323148</v>
      </c>
      <c r="D40" s="12" t="n">
        <f aca="false">IF(A40&lt;$B$11,$B$22-C40,B40)</f>
        <v>204.450337393726</v>
      </c>
      <c r="E40" s="12" t="n">
        <f aca="false">B40-D40</f>
        <v>3890.94669671738</v>
      </c>
      <c r="F40" s="32" t="n">
        <f aca="false">F39*$B$24</f>
        <v>927.451860396285</v>
      </c>
      <c r="G40" s="12" t="n">
        <f aca="false">F40*B40</f>
        <v>3798283.59834777</v>
      </c>
      <c r="H40" s="12" t="n">
        <f aca="false">$C$13*G40</f>
        <v>18991.4179917389</v>
      </c>
      <c r="I40" s="12" t="n">
        <f aca="false">$B$14*H40</f>
        <v>0</v>
      </c>
      <c r="J40" s="12" t="n">
        <f aca="false">(1-$C$13)*F40*C40</f>
        <v>22045.8710520769</v>
      </c>
      <c r="K40" s="12" t="n">
        <f aca="false">(1-$C$13)*F40*D40</f>
        <v>188669.756545587</v>
      </c>
      <c r="L40" s="12" t="n">
        <f aca="false">$B$15*(1-$C$13)*F40*E40</f>
        <v>35906.2242381045</v>
      </c>
      <c r="M40" s="12" t="n">
        <f aca="false">K40+L40</f>
        <v>224575.980783691</v>
      </c>
      <c r="N40" s="12" t="n">
        <f aca="false">I40+J40+M40</f>
        <v>246621.851835768</v>
      </c>
      <c r="O40" s="12" t="n">
        <f aca="false">G40-H40-M40</f>
        <v>3554716.19957234</v>
      </c>
      <c r="P40" s="13" t="n">
        <f aca="false">1/(1+$C$12)^A40</f>
        <v>0.990058075043065</v>
      </c>
      <c r="Q40" s="12" t="n">
        <f aca="false">N40*P40</f>
        <v>244169.955892077</v>
      </c>
    </row>
    <row r="41" customFormat="false" ht="15" hidden="false" customHeight="false" outlineLevel="0" collapsed="false">
      <c r="A41" s="15" t="n">
        <f aca="false">A40+1</f>
        <v>7</v>
      </c>
      <c r="B41" s="12" t="n">
        <f aca="false">E40</f>
        <v>3890.94669671738</v>
      </c>
      <c r="C41" s="12" t="n">
        <f aca="false">B41*$C$9</f>
        <v>22.6971890641847</v>
      </c>
      <c r="D41" s="12" t="n">
        <f aca="false">IF(A41&lt;$B$11,$B$22-C41,B41)</f>
        <v>205.642964361856</v>
      </c>
      <c r="E41" s="12" t="n">
        <f aca="false">B41-D41</f>
        <v>3685.30373235552</v>
      </c>
      <c r="F41" s="32" t="n">
        <f aca="false">F40*$B$24</f>
        <v>913.58645508336</v>
      </c>
      <c r="G41" s="12" t="n">
        <f aca="false">F41*B41</f>
        <v>3554716.19957234</v>
      </c>
      <c r="H41" s="12" t="n">
        <f aca="false">$C$13*G41</f>
        <v>17773.5809978617</v>
      </c>
      <c r="I41" s="12" t="n">
        <f aca="false">$B$14*H41</f>
        <v>0</v>
      </c>
      <c r="J41" s="12" t="n">
        <f aca="false">(1-$C$13)*F41*C41</f>
        <v>20632.1652750178</v>
      </c>
      <c r="K41" s="12" t="n">
        <f aca="false">(1-$C$13)*F41*D41</f>
        <v>186933.263690061</v>
      </c>
      <c r="L41" s="12" t="n">
        <f aca="false">$B$15*(1-$C$13)*F41*E41</f>
        <v>33500.0935488442</v>
      </c>
      <c r="M41" s="12" t="n">
        <f aca="false">K41+L41</f>
        <v>220433.357238905</v>
      </c>
      <c r="N41" s="12" t="n">
        <f aca="false">I41+J41+M41</f>
        <v>241065.522513923</v>
      </c>
      <c r="O41" s="12" t="n">
        <f aca="false">G41-H41-M41</f>
        <v>3316509.26133557</v>
      </c>
      <c r="P41" s="13" t="n">
        <f aca="false">1/(1+$C$12)^A41</f>
        <v>0.988410723836671</v>
      </c>
      <c r="Q41" s="12" t="n">
        <f aca="false">N41*P41</f>
        <v>238271.747600052</v>
      </c>
    </row>
    <row r="42" customFormat="false" ht="15" hidden="false" customHeight="false" outlineLevel="0" collapsed="false">
      <c r="A42" s="15" t="n">
        <f aca="false">A41+1</f>
        <v>8</v>
      </c>
      <c r="B42" s="12" t="n">
        <f aca="false">E41</f>
        <v>3685.30373235552</v>
      </c>
      <c r="C42" s="12" t="n">
        <f aca="false">B42*$C$9</f>
        <v>21.4976051054072</v>
      </c>
      <c r="D42" s="12" t="n">
        <f aca="false">IF(A42&lt;$B$11,$B$22-C42,B42)</f>
        <v>206.842548320634</v>
      </c>
      <c r="E42" s="12" t="n">
        <f aca="false">B42-D42</f>
        <v>3478.46118403489</v>
      </c>
      <c r="F42" s="32" t="n">
        <f aca="false">F41*$B$24</f>
        <v>899.928337579864</v>
      </c>
      <c r="G42" s="12" t="n">
        <f aca="false">F42*B42</f>
        <v>3316509.26133557</v>
      </c>
      <c r="H42" s="12" t="n">
        <f aca="false">$C$13*G42</f>
        <v>16582.5463066779</v>
      </c>
      <c r="I42" s="12" t="n">
        <f aca="false">$B$14*H42</f>
        <v>0</v>
      </c>
      <c r="J42" s="12" t="n">
        <f aca="false">(1-$C$13)*F42*C42</f>
        <v>19249.5725043352</v>
      </c>
      <c r="K42" s="12" t="n">
        <f aca="false">(1-$C$13)*F42*D42</f>
        <v>185212.753297716</v>
      </c>
      <c r="L42" s="12" t="n">
        <f aca="false">$B$15*(1-$C$13)*F42*E42</f>
        <v>31147.1396173118</v>
      </c>
      <c r="M42" s="12" t="n">
        <f aca="false">K42+L42</f>
        <v>216359.892915027</v>
      </c>
      <c r="N42" s="12" t="n">
        <f aca="false">I42+J42+M42</f>
        <v>235609.465419363</v>
      </c>
      <c r="O42" s="12" t="n">
        <f aca="false">G42-H42-M42</f>
        <v>3083566.82211387</v>
      </c>
      <c r="P42" s="13" t="n">
        <f aca="false">1/(1+$C$12)^A42</f>
        <v>0.986766113647259</v>
      </c>
      <c r="Q42" s="12" t="n">
        <f aca="false">N42*P42</f>
        <v>232491.436530373</v>
      </c>
    </row>
    <row r="43" customFormat="false" ht="15" hidden="false" customHeight="false" outlineLevel="0" collapsed="false">
      <c r="A43" s="15" t="n">
        <f aca="false">A42+1</f>
        <v>9</v>
      </c>
      <c r="B43" s="12" t="n">
        <f aca="false">E42</f>
        <v>3478.46118403489</v>
      </c>
      <c r="C43" s="12" t="n">
        <f aca="false">B43*$C$9</f>
        <v>20.2910235735369</v>
      </c>
      <c r="D43" s="12" t="n">
        <f aca="false">IF(A43&lt;$B$11,$B$22-C43,B43)</f>
        <v>208.049129852504</v>
      </c>
      <c r="E43" s="12" t="n">
        <f aca="false">B43-D43</f>
        <v>3270.41205418239</v>
      </c>
      <c r="F43" s="32" t="n">
        <f aca="false">F42*$B$24</f>
        <v>886.474408933045</v>
      </c>
      <c r="G43" s="12" t="n">
        <f aca="false">F43*B43</f>
        <v>3083566.82211387</v>
      </c>
      <c r="H43" s="12" t="n">
        <f aca="false">$C$13*G43</f>
        <v>15417.8341105693</v>
      </c>
      <c r="I43" s="12" t="n">
        <f aca="false">$B$14*H43</f>
        <v>0</v>
      </c>
      <c r="J43" s="12" t="n">
        <f aca="false">(1-$C$13)*F43*C43</f>
        <v>17897.5357633526</v>
      </c>
      <c r="K43" s="12" t="n">
        <f aca="false">(1-$C$13)*F43*D43</f>
        <v>183508.078267958</v>
      </c>
      <c r="L43" s="12" t="n">
        <f aca="false">$B$15*(1-$C$13)*F43*E43</f>
        <v>28846.4090973534</v>
      </c>
      <c r="M43" s="12" t="n">
        <f aca="false">K43+L43</f>
        <v>212354.487365311</v>
      </c>
      <c r="N43" s="12" t="n">
        <f aca="false">I43+J43+M43</f>
        <v>230252.023128663</v>
      </c>
      <c r="O43" s="12" t="n">
        <f aca="false">G43-H43-M43</f>
        <v>2855794.50063799</v>
      </c>
      <c r="P43" s="13" t="n">
        <f aca="false">1/(1+$C$12)^A43</f>
        <v>0.985124239914069</v>
      </c>
      <c r="Q43" s="12" t="n">
        <f aca="false">N43*P43</f>
        <v>226826.849273301</v>
      </c>
    </row>
    <row r="44" customFormat="false" ht="15" hidden="false" customHeight="false" outlineLevel="0" collapsed="false">
      <c r="A44" s="15" t="n">
        <f aca="false">A43+1</f>
        <v>10</v>
      </c>
      <c r="B44" s="12" t="n">
        <f aca="false">E43</f>
        <v>3270.41205418239</v>
      </c>
      <c r="C44" s="12" t="n">
        <f aca="false">B44*$C$9</f>
        <v>19.0774036493973</v>
      </c>
      <c r="D44" s="12" t="n">
        <f aca="false">IF(A44&lt;$B$11,$B$22-C44,B44)</f>
        <v>209.262749776644</v>
      </c>
      <c r="E44" s="12" t="n">
        <f aca="false">B44-D44</f>
        <v>3061.14930440574</v>
      </c>
      <c r="F44" s="32" t="n">
        <f aca="false">F43*$B$24</f>
        <v>873.221616519496</v>
      </c>
      <c r="G44" s="12" t="n">
        <f aca="false">F44*B44</f>
        <v>2855794.50063799</v>
      </c>
      <c r="H44" s="12" t="n">
        <f aca="false">$C$13*G44</f>
        <v>14278.9725031899</v>
      </c>
      <c r="I44" s="12" t="n">
        <f aca="false">$B$14*H44</f>
        <v>0</v>
      </c>
      <c r="J44" s="12" t="n">
        <f aca="false">(1-$C$13)*F44*C44</f>
        <v>16575.507247453</v>
      </c>
      <c r="K44" s="12" t="n">
        <f aca="false">(1-$C$13)*F44*D44</f>
        <v>181819.092854089</v>
      </c>
      <c r="L44" s="12" t="n">
        <f aca="false">$B$15*(1-$C$13)*F44*E44</f>
        <v>26596.9643528071</v>
      </c>
      <c r="M44" s="12" t="n">
        <f aca="false">K44+L44</f>
        <v>208416.057206896</v>
      </c>
      <c r="N44" s="12" t="n">
        <f aca="false">I44+J44+M44</f>
        <v>224991.564454349</v>
      </c>
      <c r="O44" s="12" t="n">
        <f aca="false">G44-H44-M44</f>
        <v>2633099.4709279</v>
      </c>
      <c r="P44" s="13" t="n">
        <f aca="false">1/(1+$C$12)^A44</f>
        <v>0.983485098083929</v>
      </c>
      <c r="Q44" s="12" t="n">
        <f aca="false">N44*P44</f>
        <v>221275.850835442</v>
      </c>
    </row>
    <row r="45" customFormat="false" ht="15" hidden="false" customHeight="false" outlineLevel="0" collapsed="false">
      <c r="A45" s="15" t="n">
        <f aca="false">A44+1</f>
        <v>11</v>
      </c>
      <c r="B45" s="12" t="n">
        <f aca="false">E44</f>
        <v>3061.14930440574</v>
      </c>
      <c r="C45" s="12" t="n">
        <f aca="false">B45*$C$9</f>
        <v>17.8567042757002</v>
      </c>
      <c r="D45" s="12" t="n">
        <f aca="false">IF(A45&lt;$B$11,$B$22-C45,B45)</f>
        <v>210.483449150341</v>
      </c>
      <c r="E45" s="12" t="n">
        <f aca="false">B45-D45</f>
        <v>2850.6658552554</v>
      </c>
      <c r="F45" s="32" t="n">
        <f aca="false">F44*$B$24</f>
        <v>860.166953352529</v>
      </c>
      <c r="G45" s="12" t="n">
        <f aca="false">F45*B45</f>
        <v>2633099.4709279</v>
      </c>
      <c r="H45" s="12" t="n">
        <f aca="false">$C$13*G45</f>
        <v>13165.4973546395</v>
      </c>
      <c r="I45" s="12" t="n">
        <f aca="false">$B$14*H45</f>
        <v>0</v>
      </c>
      <c r="J45" s="12" t="n">
        <f aca="false">(1-$C$13)*F45*C45</f>
        <v>15282.9481791774</v>
      </c>
      <c r="K45" s="12" t="n">
        <f aca="false">(1-$C$13)*F45*D45</f>
        <v>180145.652650847</v>
      </c>
      <c r="L45" s="12" t="n">
        <f aca="false">$B$15*(1-$C$13)*F45*E45</f>
        <v>24397.8832092242</v>
      </c>
      <c r="M45" s="12" t="n">
        <f aca="false">K45+L45</f>
        <v>204543.535860071</v>
      </c>
      <c r="N45" s="12" t="n">
        <f aca="false">I45+J45+M45</f>
        <v>219826.484039248</v>
      </c>
      <c r="O45" s="12" t="n">
        <f aca="false">G45-H45-M45</f>
        <v>2415390.43771319</v>
      </c>
      <c r="P45" s="13" t="n">
        <f aca="false">1/(1+$C$12)^A45</f>
        <v>0.981848683611243</v>
      </c>
      <c r="Q45" s="12" t="n">
        <f aca="false">N45*P45</f>
        <v>215836.343976824</v>
      </c>
    </row>
    <row r="46" customFormat="false" ht="15" hidden="false" customHeight="false" outlineLevel="0" collapsed="false">
      <c r="A46" s="15" t="n">
        <f aca="false">A45+1</f>
        <v>12</v>
      </c>
      <c r="B46" s="12" t="n">
        <f aca="false">E45</f>
        <v>2850.6658552554</v>
      </c>
      <c r="C46" s="12" t="n">
        <f aca="false">B46*$C$9</f>
        <v>16.6288841556565</v>
      </c>
      <c r="D46" s="12" t="n">
        <f aca="false">IF(A46&lt;$B$11,$B$22-C46,B46)</f>
        <v>211.711269270384</v>
      </c>
      <c r="E46" s="12" t="n">
        <f aca="false">B46-D46</f>
        <v>2638.95458598502</v>
      </c>
      <c r="F46" s="32" t="n">
        <f aca="false">F45*$B$24</f>
        <v>847.307457399909</v>
      </c>
      <c r="G46" s="12" t="n">
        <f aca="false">F46*B46</f>
        <v>2415390.43771319</v>
      </c>
      <c r="H46" s="12" t="n">
        <f aca="false">$C$13*G46</f>
        <v>12076.952188566</v>
      </c>
      <c r="I46" s="12" t="n">
        <f aca="false">$B$14*H46</f>
        <v>0</v>
      </c>
      <c r="J46" s="12" t="n">
        <f aca="false">(1-$C$13)*F46*C46</f>
        <v>14019.3286655603</v>
      </c>
      <c r="K46" s="12" t="n">
        <f aca="false">(1-$C$13)*F46*D46</f>
        <v>178487.614582055</v>
      </c>
      <c r="L46" s="12" t="n">
        <f aca="false">$B$15*(1-$C$13)*F46*E46</f>
        <v>22248.2587094257</v>
      </c>
      <c r="M46" s="12" t="n">
        <f aca="false">K46+L46</f>
        <v>200735.87329148</v>
      </c>
      <c r="N46" s="12" t="n">
        <f aca="false">I46+J46+M46</f>
        <v>214755.201957041</v>
      </c>
      <c r="O46" s="12" t="n">
        <f aca="false">G46-H46-M46</f>
        <v>2202577.61223315</v>
      </c>
      <c r="P46" s="13" t="n">
        <f aca="false">1/(1+$C$12)^A46</f>
        <v>0.98021499195798</v>
      </c>
      <c r="Q46" s="12" t="n">
        <f aca="false">N46*P46</f>
        <v>210506.268559255</v>
      </c>
    </row>
    <row r="47" customFormat="false" ht="15" hidden="false" customHeight="false" outlineLevel="0" collapsed="false">
      <c r="A47" s="15" t="n">
        <f aca="false">A46+1</f>
        <v>13</v>
      </c>
      <c r="B47" s="12" t="n">
        <f aca="false">E46</f>
        <v>2638.95458598502</v>
      </c>
      <c r="C47" s="12" t="n">
        <f aca="false">B47*$C$9</f>
        <v>15.3939017515793</v>
      </c>
      <c r="D47" s="12" t="n">
        <f aca="false">IF(A47&lt;$B$11,$B$22-C47,B47)</f>
        <v>212.946251674461</v>
      </c>
      <c r="E47" s="12" t="n">
        <f aca="false">B47-D47</f>
        <v>2426.00833431056</v>
      </c>
      <c r="F47" s="32" t="n">
        <f aca="false">F46*$B$24</f>
        <v>834.64021091178</v>
      </c>
      <c r="G47" s="12" t="n">
        <f aca="false">F47*B47</f>
        <v>2202577.61223315</v>
      </c>
      <c r="H47" s="12" t="n">
        <f aca="false">$C$13*G47</f>
        <v>11012.8880611657</v>
      </c>
      <c r="I47" s="12" t="n">
        <f aca="false">$B$14*H47</f>
        <v>0</v>
      </c>
      <c r="J47" s="12" t="n">
        <f aca="false">(1-$C$13)*F47*C47</f>
        <v>12784.1275576699</v>
      </c>
      <c r="K47" s="12" t="n">
        <f aca="false">(1-$C$13)*F47*D47</f>
        <v>176844.836888393</v>
      </c>
      <c r="L47" s="12" t="n">
        <f aca="false">$B$15*(1-$C$13)*F47*E47</f>
        <v>20147.1988728359</v>
      </c>
      <c r="M47" s="12" t="n">
        <f aca="false">K47+L47</f>
        <v>196992.035761229</v>
      </c>
      <c r="N47" s="12" t="n">
        <f aca="false">I47+J47+M47</f>
        <v>209776.163318899</v>
      </c>
      <c r="O47" s="12" t="n">
        <f aca="false">G47-H47-M47</f>
        <v>1994572.68841075</v>
      </c>
      <c r="P47" s="13" t="n">
        <f aca="false">1/(1+$C$12)^A47</f>
        <v>0.978584018593657</v>
      </c>
      <c r="Q47" s="12" t="n">
        <f aca="false">N47*P47</f>
        <v>205283.600905768</v>
      </c>
    </row>
    <row r="48" customFormat="false" ht="15" hidden="false" customHeight="false" outlineLevel="0" collapsed="false">
      <c r="A48" s="15" t="n">
        <f aca="false">A47+1</f>
        <v>14</v>
      </c>
      <c r="B48" s="12" t="n">
        <f aca="false">E47</f>
        <v>2426.00833431056</v>
      </c>
      <c r="C48" s="12" t="n">
        <f aca="false">B48*$C$9</f>
        <v>14.1517152834782</v>
      </c>
      <c r="D48" s="12" t="n">
        <f aca="false">IF(A48&lt;$B$11,$B$22-C48,B48)</f>
        <v>214.188438142563</v>
      </c>
      <c r="E48" s="12" t="n">
        <f aca="false">B48-D48</f>
        <v>2211.81989616799</v>
      </c>
      <c r="F48" s="32" t="n">
        <f aca="false">F47*$B$24</f>
        <v>822.162339758649</v>
      </c>
      <c r="G48" s="12" t="n">
        <f aca="false">F48*B48</f>
        <v>1994572.68841075</v>
      </c>
      <c r="H48" s="12" t="n">
        <f aca="false">$C$13*G48</f>
        <v>9972.86344205375</v>
      </c>
      <c r="I48" s="12" t="n">
        <f aca="false">$B$14*H48</f>
        <v>0</v>
      </c>
      <c r="J48" s="12" t="n">
        <f aca="false">(1-$C$13)*F48*C48</f>
        <v>11576.8323123174</v>
      </c>
      <c r="K48" s="12" t="n">
        <f aca="false">(1-$C$13)*F48*D48</f>
        <v>175217.179115277</v>
      </c>
      <c r="L48" s="12" t="n">
        <f aca="false">$B$15*(1-$C$13)*F48*E48</f>
        <v>18093.8264585342</v>
      </c>
      <c r="M48" s="12" t="n">
        <f aca="false">K48+L48</f>
        <v>193311.005573811</v>
      </c>
      <c r="N48" s="12" t="n">
        <f aca="false">I48+J48+M48</f>
        <v>204887.837886129</v>
      </c>
      <c r="O48" s="12" t="n">
        <f aca="false">G48-H48-M48</f>
        <v>1791288.81939489</v>
      </c>
      <c r="P48" s="13" t="n">
        <f aca="false">1/(1+$C$12)^A48</f>
        <v>0.976955758995331</v>
      </c>
      <c r="Q48" s="12" t="n">
        <f aca="false">N48*P48</f>
        <v>200166.353170955</v>
      </c>
    </row>
    <row r="49" customFormat="false" ht="15" hidden="false" customHeight="false" outlineLevel="0" collapsed="false">
      <c r="A49" s="15" t="n">
        <f aca="false">A48+1</f>
        <v>15</v>
      </c>
      <c r="B49" s="12" t="n">
        <f aca="false">E48</f>
        <v>2211.81989616799</v>
      </c>
      <c r="C49" s="12" t="n">
        <f aca="false">B49*$C$9</f>
        <v>12.9022827276466</v>
      </c>
      <c r="D49" s="12" t="n">
        <f aca="false">IF(A49&lt;$B$11,$B$22-C49,B49)</f>
        <v>215.437870698394</v>
      </c>
      <c r="E49" s="12" t="n">
        <f aca="false">B49-D49</f>
        <v>1996.3820254696</v>
      </c>
      <c r="F49" s="32" t="n">
        <f aca="false">F48*$B$24</f>
        <v>809.871012779257</v>
      </c>
      <c r="G49" s="12" t="n">
        <f aca="false">F49*B49</f>
        <v>1791288.81939489</v>
      </c>
      <c r="H49" s="12" t="n">
        <f aca="false">$C$13*G49</f>
        <v>8956.44409697443</v>
      </c>
      <c r="I49" s="12" t="n">
        <f aca="false">$B$14*H49</f>
        <v>0</v>
      </c>
      <c r="J49" s="12" t="n">
        <f aca="false">(1-$C$13)*F49*C49</f>
        <v>10396.9388559045</v>
      </c>
      <c r="K49" s="12" t="n">
        <f aca="false">(1-$C$13)*F49*D49</f>
        <v>173604.502100848</v>
      </c>
      <c r="L49" s="12" t="n">
        <f aca="false">$B$15*(1-$C$13)*F49*E49</f>
        <v>16087.2787319706</v>
      </c>
      <c r="M49" s="12" t="n">
        <f aca="false">K49+L49</f>
        <v>189691.780832818</v>
      </c>
      <c r="N49" s="12" t="n">
        <f aca="false">I49+J49+M49</f>
        <v>200088.719688723</v>
      </c>
      <c r="O49" s="12" t="n">
        <f aca="false">G49-H49-M49</f>
        <v>1592640.59446509</v>
      </c>
      <c r="P49" s="13" t="n">
        <f aca="false">1/(1+$C$12)^A49</f>
        <v>0.975330208647586</v>
      </c>
      <c r="Q49" s="12" t="n">
        <f aca="false">N49*P49</f>
        <v>195152.57272203</v>
      </c>
    </row>
    <row r="50" customFormat="false" ht="15" hidden="false" customHeight="false" outlineLevel="0" collapsed="false">
      <c r="A50" s="15" t="n">
        <f aca="false">A49+1</f>
        <v>16</v>
      </c>
      <c r="B50" s="12" t="n">
        <f aca="false">E49</f>
        <v>1996.3820254696</v>
      </c>
      <c r="C50" s="12" t="n">
        <f aca="false">B50*$C$9</f>
        <v>11.6455618152393</v>
      </c>
      <c r="D50" s="12" t="n">
        <f aca="false">IF(A50&lt;$B$11,$B$22-C50,B50)</f>
        <v>216.694591610801</v>
      </c>
      <c r="E50" s="12" t="n">
        <f aca="false">B50-D50</f>
        <v>1779.6874338588</v>
      </c>
      <c r="F50" s="32" t="n">
        <f aca="false">F49*$B$24</f>
        <v>797.763441138207</v>
      </c>
      <c r="G50" s="12" t="n">
        <f aca="false">F50*B50</f>
        <v>1592640.59446509</v>
      </c>
      <c r="H50" s="12" t="n">
        <f aca="false">$C$13*G50</f>
        <v>7963.20297232546</v>
      </c>
      <c r="I50" s="12" t="n">
        <f aca="false">$B$14*H50</f>
        <v>0</v>
      </c>
      <c r="J50" s="12" t="n">
        <f aca="false">(1-$C$13)*F50*C50</f>
        <v>9243.95145037448</v>
      </c>
      <c r="K50" s="12" t="n">
        <f aca="false">(1-$C$13)*F50*D50</f>
        <v>172006.667964074</v>
      </c>
      <c r="L50" s="12" t="n">
        <f aca="false">$B$15*(1-$C$13)*F50*E50</f>
        <v>14126.7072352869</v>
      </c>
      <c r="M50" s="12" t="n">
        <f aca="false">K50+L50</f>
        <v>186133.375199361</v>
      </c>
      <c r="N50" s="12" t="n">
        <f aca="false">I50+J50+M50</f>
        <v>195377.326649736</v>
      </c>
      <c r="O50" s="12" t="n">
        <f aca="false">G50-H50-M50</f>
        <v>1398544.01629341</v>
      </c>
      <c r="P50" s="13" t="n">
        <f aca="false">1/(1+$C$12)^A50</f>
        <v>0.973707363042514</v>
      </c>
      <c r="Q50" s="12" t="n">
        <f aca="false">N50*P50</f>
        <v>190240.34153041</v>
      </c>
    </row>
    <row r="51" customFormat="false" ht="15" hidden="false" customHeight="false" outlineLevel="0" collapsed="false">
      <c r="A51" s="15" t="n">
        <f aca="false">A50+1</f>
        <v>17</v>
      </c>
      <c r="B51" s="12" t="n">
        <f aca="false">E50</f>
        <v>1779.6874338588</v>
      </c>
      <c r="C51" s="12" t="n">
        <f aca="false">B51*$C$9</f>
        <v>10.381510030843</v>
      </c>
      <c r="D51" s="12" t="n">
        <f aca="false">IF(A51&lt;$B$11,$B$22-C51,B51)</f>
        <v>217.958643395198</v>
      </c>
      <c r="E51" s="12" t="n">
        <f aca="false">B51-D51</f>
        <v>1561.7287904636</v>
      </c>
      <c r="F51" s="32" t="n">
        <f aca="false">F50*$B$24</f>
        <v>785.836877693191</v>
      </c>
      <c r="G51" s="12" t="n">
        <f aca="false">F51*B51</f>
        <v>1398544.01629341</v>
      </c>
      <c r="H51" s="12" t="n">
        <f aca="false">$C$13*G51</f>
        <v>6992.72008146703</v>
      </c>
      <c r="I51" s="12" t="n">
        <f aca="false">$B$14*H51</f>
        <v>0</v>
      </c>
      <c r="J51" s="12" t="n">
        <f aca="false">(1-$C$13)*F51*C51</f>
        <v>8117.38256123631</v>
      </c>
      <c r="K51" s="12" t="n">
        <f aca="false">(1-$C$13)*F51*D51</f>
        <v>170423.540092966</v>
      </c>
      <c r="L51" s="12" t="n">
        <f aca="false">$B$15*(1-$C$13)*F51*E51</f>
        <v>12211.2775611897</v>
      </c>
      <c r="M51" s="12" t="n">
        <f aca="false">K51+L51</f>
        <v>182634.817654156</v>
      </c>
      <c r="N51" s="12" t="n">
        <f aca="false">I51+J51+M51</f>
        <v>190752.200215392</v>
      </c>
      <c r="O51" s="12" t="n">
        <f aca="false">G51-H51-M51</f>
        <v>1208916.47855778</v>
      </c>
      <c r="P51" s="13" t="n">
        <f aca="false">1/(1+$C$12)^A51</f>
        <v>0.972087217679715</v>
      </c>
      <c r="Q51" s="12" t="n">
        <f aca="false">N51*P51</f>
        <v>185427.775573665</v>
      </c>
    </row>
    <row r="52" customFormat="false" ht="15" hidden="false" customHeight="false" outlineLevel="0" collapsed="false">
      <c r="A52" s="15" t="n">
        <f aca="false">A51+1</f>
        <v>18</v>
      </c>
      <c r="B52" s="12" t="n">
        <f aca="false">E51</f>
        <v>1561.7287904636</v>
      </c>
      <c r="C52" s="12" t="n">
        <f aca="false">B52*$C$9</f>
        <v>9.11008461103767</v>
      </c>
      <c r="D52" s="12" t="n">
        <f aca="false">IF(A52&lt;$B$11,$B$22-C52,B52)</f>
        <v>219.230068815003</v>
      </c>
      <c r="E52" s="12" t="n">
        <f aca="false">B52-D52</f>
        <v>1342.4987216486</v>
      </c>
      <c r="F52" s="32" t="n">
        <f aca="false">F51*$B$24</f>
        <v>774.088616371678</v>
      </c>
      <c r="G52" s="12" t="n">
        <f aca="false">F52*B52</f>
        <v>1208916.47855778</v>
      </c>
      <c r="H52" s="12" t="n">
        <f aca="false">$C$13*G52</f>
        <v>6044.58239278892</v>
      </c>
      <c r="I52" s="12" t="n">
        <f aca="false">$B$14*H52</f>
        <v>0</v>
      </c>
      <c r="J52" s="12" t="n">
        <f aca="false">(1-$C$13)*F52*C52</f>
        <v>7016.75272762913</v>
      </c>
      <c r="K52" s="12" t="n">
        <f aca="false">(1-$C$13)*F52*D52</f>
        <v>168854.983132893</v>
      </c>
      <c r="L52" s="12" t="n">
        <f aca="false">$B$15*(1-$C$13)*F52*E52</f>
        <v>10340.169130321</v>
      </c>
      <c r="M52" s="12" t="n">
        <f aca="false">K52+L52</f>
        <v>179195.152263214</v>
      </c>
      <c r="N52" s="12" t="n">
        <f aca="false">I52+J52+M52</f>
        <v>186211.904990843</v>
      </c>
      <c r="O52" s="12" t="n">
        <f aca="false">G52-H52-M52</f>
        <v>1023676.74390178</v>
      </c>
      <c r="P52" s="13" t="n">
        <f aca="false">1/(1+$C$12)^A52</f>
        <v>0.970469768066271</v>
      </c>
      <c r="Q52" s="12" t="n">
        <f aca="false">N52*P52</f>
        <v>180713.024247642</v>
      </c>
    </row>
    <row r="53" customFormat="false" ht="15" hidden="false" customHeight="false" outlineLevel="0" collapsed="false">
      <c r="A53" s="15" t="n">
        <f aca="false">A52+1</f>
        <v>19</v>
      </c>
      <c r="B53" s="12" t="n">
        <f aca="false">E52</f>
        <v>1342.4987216486</v>
      </c>
      <c r="C53" s="12" t="n">
        <f aca="false">B53*$C$9</f>
        <v>7.83124254295016</v>
      </c>
      <c r="D53" s="12" t="n">
        <f aca="false">IF(A53&lt;$B$11,$B$22-C53,B53)</f>
        <v>220.508910883091</v>
      </c>
      <c r="E53" s="12" t="n">
        <f aca="false">B53-D53</f>
        <v>1121.98981076551</v>
      </c>
      <c r="F53" s="32" t="n">
        <f aca="false">F52*$B$24</f>
        <v>762.515991556921</v>
      </c>
      <c r="G53" s="12" t="n">
        <f aca="false">F53*B53</f>
        <v>1023676.74390178</v>
      </c>
      <c r="H53" s="12" t="n">
        <f aca="false">$C$13*G53</f>
        <v>5118.3837195089</v>
      </c>
      <c r="I53" s="12" t="n">
        <f aca="false">$B$14*H53</f>
        <v>0</v>
      </c>
      <c r="J53" s="12" t="n">
        <f aca="false">(1-$C$13)*F53*C53</f>
        <v>5941.59043439658</v>
      </c>
      <c r="K53" s="12" t="n">
        <f aca="false">(1-$C$13)*F53*D53</f>
        <v>167300.862975011</v>
      </c>
      <c r="L53" s="12" t="n">
        <f aca="false">$B$15*(1-$C$13)*F53*E53</f>
        <v>8512.5749720726</v>
      </c>
      <c r="M53" s="12" t="n">
        <f aca="false">K53+L53</f>
        <v>175813.437947083</v>
      </c>
      <c r="N53" s="12" t="n">
        <f aca="false">I53+J53+M53</f>
        <v>181755.02838148</v>
      </c>
      <c r="O53" s="12" t="n">
        <f aca="false">G53-H53-M53</f>
        <v>842744.922235188</v>
      </c>
      <c r="P53" s="13" t="n">
        <f aca="false">1/(1+$C$12)^A53</f>
        <v>0.968855009716743</v>
      </c>
      <c r="Q53" s="12" t="n">
        <f aca="false">N53*P53</f>
        <v>176094.269788606</v>
      </c>
    </row>
    <row r="54" customFormat="false" ht="15" hidden="false" customHeight="false" outlineLevel="0" collapsed="false">
      <c r="A54" s="15" t="n">
        <f aca="false">A53+1</f>
        <v>20</v>
      </c>
      <c r="B54" s="12" t="n">
        <f aca="false">E53</f>
        <v>1121.98981076551</v>
      </c>
      <c r="C54" s="12" t="n">
        <f aca="false">B54*$C$9</f>
        <v>6.54494056279879</v>
      </c>
      <c r="D54" s="12" t="n">
        <f aca="false">IF(A54&lt;$B$11,$B$22-C54,B54)</f>
        <v>221.795212863242</v>
      </c>
      <c r="E54" s="12" t="n">
        <f aca="false">B54-D54</f>
        <v>900.194597902266</v>
      </c>
      <c r="F54" s="32" t="n">
        <f aca="false">F53*$B$24</f>
        <v>751.116377483145</v>
      </c>
      <c r="G54" s="12" t="n">
        <f aca="false">F54*B54</f>
        <v>842744.922235188</v>
      </c>
      <c r="H54" s="12" t="n">
        <f aca="false">$C$13*G54</f>
        <v>4213.72461117594</v>
      </c>
      <c r="I54" s="12" t="n">
        <f aca="false">$B$14*H54</f>
        <v>0</v>
      </c>
      <c r="J54" s="12" t="n">
        <f aca="false">(1-$C$13)*F54*C54</f>
        <v>4891.43198614007</v>
      </c>
      <c r="K54" s="12" t="n">
        <f aca="false">(1-$C$13)*F54*D54</f>
        <v>165761.046744797</v>
      </c>
      <c r="L54" s="12" t="n">
        <f aca="false">$B$15*(1-$C$13)*F54*E54</f>
        <v>6727.70150879215</v>
      </c>
      <c r="M54" s="12" t="n">
        <f aca="false">K54+L54</f>
        <v>172488.748253589</v>
      </c>
      <c r="N54" s="12" t="n">
        <f aca="false">I54+J54+M54</f>
        <v>177380.180239729</v>
      </c>
      <c r="O54" s="12" t="n">
        <f aca="false">G54-H54-M54</f>
        <v>666042.449370423</v>
      </c>
      <c r="P54" s="13" t="n">
        <f aca="false">1/(1+$C$12)^A54</f>
        <v>0.967242938153154</v>
      </c>
      <c r="Q54" s="12" t="n">
        <f aca="false">N54*P54</f>
        <v>171569.726705212</v>
      </c>
    </row>
    <row r="55" customFormat="false" ht="15" hidden="false" customHeight="false" outlineLevel="0" collapsed="false">
      <c r="A55" s="15" t="n">
        <f aca="false">A54+1</f>
        <v>21</v>
      </c>
      <c r="B55" s="12" t="n">
        <f aca="false">E54</f>
        <v>900.194597902266</v>
      </c>
      <c r="C55" s="12" t="n">
        <f aca="false">B55*$C$9</f>
        <v>5.25113515442988</v>
      </c>
      <c r="D55" s="12" t="n">
        <f aca="false">IF(A55&lt;$B$11,$B$22-C55,B55)</f>
        <v>223.089018271611</v>
      </c>
      <c r="E55" s="12" t="n">
        <f aca="false">B55-D55</f>
        <v>677.105579630655</v>
      </c>
      <c r="F55" s="32" t="n">
        <f aca="false">F54*$B$24</f>
        <v>739.887187639772</v>
      </c>
      <c r="G55" s="12" t="n">
        <f aca="false">F55*B55</f>
        <v>666042.449370423</v>
      </c>
      <c r="H55" s="12" t="n">
        <f aca="false">$C$13*G55</f>
        <v>3330.21224685211</v>
      </c>
      <c r="I55" s="12" t="n">
        <f aca="false">$B$14*H55</f>
        <v>0</v>
      </c>
      <c r="J55" s="12" t="n">
        <f aca="false">(1-$C$13)*F55*C55</f>
        <v>3865.82138322083</v>
      </c>
      <c r="K55" s="12" t="n">
        <f aca="false">(1-$C$13)*F55*D55</f>
        <v>164235.402790688</v>
      </c>
      <c r="L55" s="12" t="n">
        <f aca="false">$B$15*(1-$C$13)*F55*E55</f>
        <v>4984.76834332882</v>
      </c>
      <c r="M55" s="12" t="n">
        <f aca="false">K55+L55</f>
        <v>169220.171134017</v>
      </c>
      <c r="N55" s="12" t="n">
        <f aca="false">I55+J55+M55</f>
        <v>173085.992517238</v>
      </c>
      <c r="O55" s="12" t="n">
        <f aca="false">G55-H55-M55</f>
        <v>493492.065989554</v>
      </c>
      <c r="P55" s="13" t="n">
        <f aca="false">1/(1+$C$12)^A55</f>
        <v>0.96563354890498</v>
      </c>
      <c r="Q55" s="12" t="n">
        <f aca="false">N55*P55</f>
        <v>167137.641220161</v>
      </c>
    </row>
    <row r="56" customFormat="false" ht="15" hidden="false" customHeight="false" outlineLevel="0" collapsed="false">
      <c r="A56" s="15" t="n">
        <f aca="false">A55+1</f>
        <v>22</v>
      </c>
      <c r="B56" s="12" t="n">
        <f aca="false">E55</f>
        <v>677.105579630655</v>
      </c>
      <c r="C56" s="12" t="n">
        <f aca="false">B56*$C$9</f>
        <v>3.94978254784549</v>
      </c>
      <c r="D56" s="12" t="n">
        <f aca="false">IF(A56&lt;$B$11,$B$22-C56,B56)</f>
        <v>224.390370878195</v>
      </c>
      <c r="E56" s="12" t="n">
        <f aca="false">B56-D56</f>
        <v>452.715208752459</v>
      </c>
      <c r="F56" s="32" t="n">
        <f aca="false">F55*$B$24</f>
        <v>728.825874184558</v>
      </c>
      <c r="G56" s="12" t="n">
        <f aca="false">F56*B56</f>
        <v>493492.065989554</v>
      </c>
      <c r="H56" s="12" t="n">
        <f aca="false">$C$13*G56</f>
        <v>2467.46032994777</v>
      </c>
      <c r="I56" s="12" t="n">
        <f aca="false">$B$14*H56</f>
        <v>0</v>
      </c>
      <c r="J56" s="12" t="n">
        <f aca="false">(1-$C$13)*F56*C56</f>
        <v>2864.31019968103</v>
      </c>
      <c r="K56" s="12" t="n">
        <f aca="false">(1-$C$13)*F56*D56</f>
        <v>162723.800672828</v>
      </c>
      <c r="L56" s="12" t="n">
        <f aca="false">$B$15*(1-$C$13)*F56*E56</f>
        <v>3283.00804986778</v>
      </c>
      <c r="M56" s="12" t="n">
        <f aca="false">K56+L56</f>
        <v>166006.808722696</v>
      </c>
      <c r="N56" s="12" t="n">
        <f aca="false">I56+J56+M56</f>
        <v>168871.118922377</v>
      </c>
      <c r="O56" s="12" t="n">
        <f aca="false">G56-H56-M56</f>
        <v>325017.79693691</v>
      </c>
      <c r="P56" s="13" t="n">
        <f aca="false">1/(1+$C$12)^A56</f>
        <v>0.964026837509131</v>
      </c>
      <c r="Q56" s="12" t="n">
        <f aca="false">N56*P56</f>
        <v>162796.290721368</v>
      </c>
    </row>
    <row r="57" customFormat="false" ht="15" hidden="false" customHeight="false" outlineLevel="0" collapsed="false">
      <c r="A57" s="15" t="n">
        <f aca="false">A56+1</f>
        <v>23</v>
      </c>
      <c r="B57" s="12" t="n">
        <f aca="false">E56</f>
        <v>452.715208752459</v>
      </c>
      <c r="C57" s="12" t="n">
        <f aca="false">B57*$C$9</f>
        <v>2.64083871772268</v>
      </c>
      <c r="D57" s="12" t="n">
        <f aca="false">IF(A57&lt;$B$11,$B$22-C57,B57)</f>
        <v>225.699314708318</v>
      </c>
      <c r="E57" s="12" t="n">
        <f aca="false">B57-D57</f>
        <v>227.015894044141</v>
      </c>
      <c r="F57" s="32" t="n">
        <f aca="false">F56*$B$24</f>
        <v>717.929927365498</v>
      </c>
      <c r="G57" s="12" t="n">
        <f aca="false">F57*B57</f>
        <v>325017.79693691</v>
      </c>
      <c r="H57" s="12" t="n">
        <f aca="false">$C$13*G57</f>
        <v>1625.08898468455</v>
      </c>
      <c r="I57" s="12" t="n">
        <f aca="false">$B$14*H57</f>
        <v>0</v>
      </c>
      <c r="J57" s="12" t="n">
        <f aca="false">(1-$C$13)*F57*C57</f>
        <v>1886.45746305465</v>
      </c>
      <c r="K57" s="12" t="n">
        <f aca="false">(1-$C$13)*F57*D57</f>
        <v>161226.111151911</v>
      </c>
      <c r="L57" s="12" t="n">
        <f aca="false">$B$15*(1-$C$13)*F57*E57</f>
        <v>1621.66596800315</v>
      </c>
      <c r="M57" s="12" t="n">
        <f aca="false">K57+L57</f>
        <v>162847.777119914</v>
      </c>
      <c r="N57" s="12" t="n">
        <f aca="false">I57+J57+M57</f>
        <v>164734.234582968</v>
      </c>
      <c r="O57" s="12" t="n">
        <f aca="false">G57-H57-M57</f>
        <v>160544.930832311</v>
      </c>
      <c r="P57" s="13" t="n">
        <f aca="false">1/(1+$C$12)^A57</f>
        <v>0.962422799509948</v>
      </c>
      <c r="Q57" s="12" t="n">
        <f aca="false">N57*P57</f>
        <v>158543.983222469</v>
      </c>
    </row>
    <row r="58" customFormat="false" ht="15" hidden="false" customHeight="false" outlineLevel="0" collapsed="false">
      <c r="A58" s="15" t="n">
        <f aca="false">A57+1</f>
        <v>24</v>
      </c>
      <c r="B58" s="12" t="n">
        <f aca="false">E57</f>
        <v>227.015894044141</v>
      </c>
      <c r="C58" s="12" t="n">
        <f aca="false">B58*$C$9</f>
        <v>1.32425938192416</v>
      </c>
      <c r="D58" s="12" t="n">
        <f aca="false">IF(A58&lt;$B$11,$B$22-C58,B58)</f>
        <v>227.015894044141</v>
      </c>
      <c r="E58" s="12" t="n">
        <f aca="false">B58-D58</f>
        <v>0</v>
      </c>
      <c r="F58" s="32" t="n">
        <f aca="false">F57*$B$24</f>
        <v>707.196874951384</v>
      </c>
      <c r="G58" s="12" t="n">
        <f aca="false">F58*B58</f>
        <v>160544.930832311</v>
      </c>
      <c r="H58" s="12" t="n">
        <f aca="false">$C$13*G58</f>
        <v>802.724654161557</v>
      </c>
      <c r="I58" s="12" t="n">
        <f aca="false">$B$14*H58</f>
        <v>0</v>
      </c>
      <c r="J58" s="12" t="n">
        <f aca="false">(1-$C$13)*F58*C58</f>
        <v>931.829536039207</v>
      </c>
      <c r="K58" s="12" t="n">
        <f aca="false">(1-$C$13)*F58*D58</f>
        <v>159742.20617815</v>
      </c>
      <c r="L58" s="12" t="n">
        <f aca="false">$B$15*(1-$C$13)*F58*E58</f>
        <v>0</v>
      </c>
      <c r="M58" s="12" t="n">
        <f aca="false">K58+L58</f>
        <v>159742.20617815</v>
      </c>
      <c r="N58" s="12" t="n">
        <f aca="false">I58+J58+M58</f>
        <v>160674.035714189</v>
      </c>
      <c r="O58" s="12" t="n">
        <f aca="false">G58-H58-M58</f>
        <v>0</v>
      </c>
      <c r="P58" s="13" t="n">
        <f aca="false">1/(1+$C$12)^A58</f>
        <v>0.960821430459182</v>
      </c>
      <c r="Q58" s="12" t="n">
        <f aca="false">N58*P58</f>
        <v>154379.056832557</v>
      </c>
    </row>
    <row r="59" customFormat="false" ht="15" hidden="false" customHeight="false" outlineLevel="0" collapsed="false">
      <c r="A59" s="33" t="s">
        <v>47</v>
      </c>
      <c r="B59" s="18"/>
      <c r="C59" s="18"/>
      <c r="D59" s="18"/>
      <c r="E59" s="18"/>
      <c r="F59" s="18"/>
      <c r="G59" s="18"/>
      <c r="H59" s="19" t="n">
        <f aca="false">SUM(H35:H58)</f>
        <v>290984.43146545</v>
      </c>
      <c r="I59" s="19" t="n">
        <f aca="false">SUM(I35:I58)</f>
        <v>0</v>
      </c>
      <c r="J59" s="19" t="n">
        <f aca="false">SUM(J35:J58)</f>
        <v>337784.427526144</v>
      </c>
      <c r="K59" s="19" t="n">
        <f aca="false">SUM(K35:K58)</f>
        <v>4272683.38375586</v>
      </c>
      <c r="L59" s="19" t="n">
        <f aca="false">SUM(L35:L58)</f>
        <v>536332.184778688</v>
      </c>
      <c r="M59" s="19" t="n">
        <f aca="false">SUM(M35:M58)</f>
        <v>4809015.56853455</v>
      </c>
      <c r="N59" s="19" t="n">
        <f aca="false">SUM(N35:N58)</f>
        <v>5146799.99606069</v>
      </c>
      <c r="O59" s="19" t="n">
        <f aca="false">O58</f>
        <v>0</v>
      </c>
      <c r="P59" s="18"/>
      <c r="Q59" s="19" t="n">
        <f aca="false">SUM(Q35:Q58)</f>
        <v>5050489.51810203</v>
      </c>
    </row>
    <row r="60" customFormat="false" ht="27.75" hidden="false" customHeight="true" outlineLevel="0" collapsed="false">
      <c r="A60" s="2" t="s">
        <v>156</v>
      </c>
      <c r="B60" s="2"/>
      <c r="C60" s="2"/>
      <c r="D60" s="2"/>
      <c r="E60" s="2"/>
      <c r="F60" s="2"/>
      <c r="G60" s="2"/>
      <c r="H60" s="2"/>
      <c r="I60" s="2"/>
      <c r="J60" s="2"/>
      <c r="K60" s="2"/>
      <c r="L60" s="2"/>
      <c r="M60" s="2"/>
      <c r="N60" s="2"/>
      <c r="O60" s="2"/>
      <c r="P60" s="2"/>
      <c r="Q60" s="2"/>
    </row>
    <row r="62" customFormat="false" ht="15" hidden="false" customHeight="false" outlineLevel="0" collapsed="false">
      <c r="A62" s="3" t="s">
        <v>90</v>
      </c>
    </row>
    <row r="63" customFormat="false" ht="27.75" hidden="false" customHeight="true" outlineLevel="0" collapsed="false">
      <c r="A63" s="4"/>
      <c r="B63" s="4" t="s">
        <v>75</v>
      </c>
    </row>
    <row r="64" customFormat="false" ht="23.85" hidden="false" customHeight="true" outlineLevel="0" collapsed="false">
      <c r="A64" s="5" t="s">
        <v>157</v>
      </c>
      <c r="B64" s="12" t="n">
        <f aca="false">ROUND(M59+H59-B7*B21,8)</f>
        <v>0</v>
      </c>
      <c r="C64" s="2" t="s">
        <v>158</v>
      </c>
      <c r="D64" s="2"/>
      <c r="E64" s="2"/>
      <c r="F64" s="2"/>
      <c r="G64" s="2"/>
      <c r="H64" s="2"/>
      <c r="I64" s="2"/>
      <c r="J64" s="2"/>
      <c r="K64" s="2"/>
    </row>
    <row r="65" customFormat="false" ht="15" hidden="false" customHeight="false" outlineLevel="0" collapsed="false">
      <c r="A65" s="5" t="s">
        <v>159</v>
      </c>
      <c r="B65" s="12" t="n">
        <f aca="false">ROUND(O58,8)</f>
        <v>0</v>
      </c>
      <c r="C65" s="2"/>
      <c r="D65" s="2"/>
      <c r="E65" s="2"/>
      <c r="F65" s="2"/>
      <c r="G65" s="2"/>
      <c r="H65" s="2"/>
      <c r="I65" s="2"/>
      <c r="J65" s="2"/>
      <c r="K65" s="2"/>
    </row>
    <row r="67" customFormat="false" ht="15" hidden="false" customHeight="false" outlineLevel="0" collapsed="false">
      <c r="A67" s="3" t="s">
        <v>160</v>
      </c>
    </row>
    <row r="68" customFormat="false" ht="27.75" hidden="false" customHeight="true" outlineLevel="0" collapsed="false">
      <c r="A68" s="4"/>
      <c r="B68" s="4" t="s">
        <v>75</v>
      </c>
      <c r="C68" s="4" t="s">
        <v>161</v>
      </c>
      <c r="D68" s="4"/>
      <c r="E68" s="4"/>
      <c r="F68" s="4"/>
      <c r="G68" s="4"/>
      <c r="H68" s="4"/>
      <c r="I68" s="4"/>
      <c r="J68" s="4"/>
      <c r="K68" s="4"/>
    </row>
    <row r="69" customFormat="false" ht="15.75" hidden="false" customHeight="true" outlineLevel="0" collapsed="false">
      <c r="A69" s="5" t="s">
        <v>162</v>
      </c>
      <c r="B69" s="12" t="n">
        <f aca="false">B7*B8</f>
        <v>5000000</v>
      </c>
      <c r="C69" s="7" t="s">
        <v>163</v>
      </c>
      <c r="D69" s="7"/>
      <c r="E69" s="7"/>
      <c r="F69" s="7"/>
      <c r="G69" s="7"/>
      <c r="H69" s="7"/>
      <c r="I69" s="7"/>
      <c r="J69" s="7"/>
      <c r="K69" s="7"/>
    </row>
    <row r="70" customFormat="false" ht="15.75" hidden="false" customHeight="true" outlineLevel="0" collapsed="false">
      <c r="A70" s="5" t="s">
        <v>164</v>
      </c>
      <c r="B70" s="12" t="n">
        <f aca="false">Q59</f>
        <v>5050489.51810203</v>
      </c>
      <c r="C70" s="7" t="s">
        <v>165</v>
      </c>
      <c r="D70" s="7"/>
      <c r="E70" s="7"/>
      <c r="F70" s="7"/>
      <c r="G70" s="7"/>
      <c r="H70" s="7"/>
      <c r="I70" s="7"/>
      <c r="J70" s="7"/>
      <c r="K70" s="7"/>
    </row>
    <row r="71" customFormat="false" ht="15.75" hidden="false" customHeight="true" outlineLevel="0" collapsed="false">
      <c r="A71" s="5" t="s">
        <v>166</v>
      </c>
      <c r="B71" s="34" t="n">
        <f aca="false">B70-B69</f>
        <v>50489.5181020331</v>
      </c>
      <c r="C71" s="7" t="s">
        <v>167</v>
      </c>
      <c r="D71" s="7"/>
      <c r="E71" s="7"/>
      <c r="F71" s="7"/>
      <c r="G71" s="7"/>
      <c r="H71" s="7"/>
      <c r="I71" s="7"/>
      <c r="J71" s="7"/>
      <c r="K71" s="7"/>
    </row>
    <row r="72" customFormat="false" ht="15.75" hidden="false" customHeight="true" outlineLevel="0" collapsed="false">
      <c r="A72" s="5" t="s">
        <v>168</v>
      </c>
      <c r="B72" s="21" t="n">
        <f aca="false">B71/B69</f>
        <v>0.0100979036204066</v>
      </c>
      <c r="C72" s="7"/>
      <c r="D72" s="7"/>
      <c r="E72" s="7"/>
      <c r="F72" s="7"/>
      <c r="G72" s="7"/>
      <c r="H72" s="7"/>
      <c r="I72" s="7"/>
      <c r="J72" s="7"/>
      <c r="K72" s="7"/>
    </row>
    <row r="73" customFormat="false" ht="15.75" hidden="false" customHeight="true" outlineLevel="0" collapsed="false">
      <c r="A73" s="5" t="s">
        <v>169</v>
      </c>
      <c r="B73" s="12" t="n">
        <f aca="false">J59</f>
        <v>337784.427526144</v>
      </c>
      <c r="C73" s="7"/>
      <c r="D73" s="7"/>
      <c r="E73" s="7"/>
      <c r="F73" s="7"/>
      <c r="G73" s="7"/>
      <c r="H73" s="7"/>
      <c r="I73" s="7"/>
      <c r="J73" s="7"/>
      <c r="K73" s="7"/>
    </row>
    <row r="74" customFormat="false" ht="15.75" hidden="false" customHeight="true" outlineLevel="0" collapsed="false">
      <c r="A74" s="5" t="s">
        <v>170</v>
      </c>
      <c r="B74" s="12" t="n">
        <f aca="false">M59</f>
        <v>4809015.56853455</v>
      </c>
      <c r="C74" s="7" t="s">
        <v>171</v>
      </c>
      <c r="D74" s="7"/>
      <c r="E74" s="7"/>
      <c r="F74" s="7"/>
      <c r="G74" s="7"/>
      <c r="H74" s="7"/>
      <c r="I74" s="7"/>
      <c r="J74" s="7"/>
      <c r="K74" s="7"/>
    </row>
    <row r="75" customFormat="false" ht="15.75" hidden="false" customHeight="true" outlineLevel="0" collapsed="false">
      <c r="A75" s="5" t="s">
        <v>172</v>
      </c>
      <c r="B75" s="12" t="n">
        <f aca="false">H59</f>
        <v>290984.43146545</v>
      </c>
      <c r="C75" s="7" t="s">
        <v>173</v>
      </c>
      <c r="D75" s="7"/>
      <c r="E75" s="7"/>
      <c r="F75" s="7"/>
      <c r="G75" s="7"/>
      <c r="H75" s="7"/>
      <c r="I75" s="7"/>
      <c r="J75" s="7"/>
      <c r="K75" s="7"/>
    </row>
    <row r="77" customFormat="false" ht="15" hidden="false" customHeight="false" outlineLevel="0" collapsed="false">
      <c r="A77" s="3" t="s">
        <v>174</v>
      </c>
    </row>
    <row r="78" customFormat="false" ht="43.5" hidden="false" customHeight="true" outlineLevel="0" collapsed="false">
      <c r="A78" s="2" t="s">
        <v>175</v>
      </c>
      <c r="B78" s="2"/>
      <c r="C78" s="2"/>
      <c r="D78" s="2"/>
      <c r="E78" s="2"/>
      <c r="F78" s="2"/>
      <c r="G78" s="2"/>
      <c r="H78" s="2"/>
      <c r="I78" s="2"/>
      <c r="J78" s="2"/>
      <c r="K78" s="2"/>
      <c r="L78" s="2"/>
      <c r="M78" s="2"/>
      <c r="N78" s="2"/>
      <c r="O78" s="2"/>
      <c r="P78" s="2"/>
      <c r="Q78" s="2"/>
    </row>
    <row r="79" customFormat="false" ht="35.05" hidden="false" customHeight="false" outlineLevel="0" collapsed="false">
      <c r="A79" s="35" t="s">
        <v>176</v>
      </c>
      <c r="H79" s="35" t="s">
        <v>177</v>
      </c>
    </row>
    <row r="80" customFormat="false" ht="15" hidden="false" customHeight="false" outlineLevel="0" collapsed="false">
      <c r="A80" s="36" t="n">
        <f aca="false">B70</f>
        <v>5050489.51810203</v>
      </c>
      <c r="B80" s="37" t="n">
        <v>0</v>
      </c>
      <c r="C80" s="37" t="n">
        <v>0.01</v>
      </c>
      <c r="D80" s="37" t="n">
        <v>0.02</v>
      </c>
      <c r="E80" s="37" t="n">
        <v>0.03</v>
      </c>
      <c r="F80" s="37" t="n">
        <v>0.04</v>
      </c>
      <c r="H80" s="4" t="s">
        <v>178</v>
      </c>
      <c r="I80" s="38" t="n">
        <f aca="false">B80</f>
        <v>0</v>
      </c>
      <c r="J80" s="38" t="n">
        <f aca="false">C80</f>
        <v>0.01</v>
      </c>
      <c r="K80" s="38" t="n">
        <f aca="false">D80</f>
        <v>0.02</v>
      </c>
      <c r="L80" s="38" t="n">
        <f aca="false">E80</f>
        <v>0.03</v>
      </c>
      <c r="M80" s="38" t="n">
        <f aca="false">F80</f>
        <v>0.04</v>
      </c>
    </row>
    <row r="81" customFormat="false" ht="15" hidden="false" customHeight="false" outlineLevel="0" collapsed="false">
      <c r="A81" s="37" t="n">
        <v>0.05</v>
      </c>
      <c r="B81" s="12" t="n">
        <f t="dataTable" ref="B81:F95" dt2D="1" dtr="1" r1="B10" r2="B9" ca="1"/>
        <v>4858952.22797611</v>
      </c>
      <c r="C81" s="12" t="n">
        <v>4907541.75025587</v>
      </c>
      <c r="D81" s="12" t="n">
        <v>4956131.27253563</v>
      </c>
      <c r="E81" s="12" t="n">
        <v>5004720.79481539</v>
      </c>
      <c r="F81" s="12" t="n">
        <v>5053310.31709515</v>
      </c>
      <c r="H81" s="38" t="n">
        <f aca="false">A81</f>
        <v>0.05</v>
      </c>
      <c r="I81" s="39" t="n">
        <f aca="false">B81-$B$69</f>
        <v>-141047.772023891</v>
      </c>
      <c r="J81" s="39" t="n">
        <f aca="false">C81-$B$69</f>
        <v>-92458.2497441322</v>
      </c>
      <c r="K81" s="39" t="n">
        <f aca="false">D81-$B$69</f>
        <v>-43868.7274643704</v>
      </c>
      <c r="L81" s="39" t="n">
        <f aca="false">E81-$B$69</f>
        <v>4720.79481539037</v>
      </c>
      <c r="M81" s="39" t="n">
        <f aca="false">F81-$B$69</f>
        <v>53310.3170951512</v>
      </c>
    </row>
    <row r="82" customFormat="false" ht="15" hidden="false" customHeight="false" outlineLevel="0" collapsed="false">
      <c r="A82" s="37" t="n">
        <v>0.055</v>
      </c>
      <c r="B82" s="12" t="n">
        <v>4881978.00411527</v>
      </c>
      <c r="C82" s="12" t="n">
        <v>4930797.78415642</v>
      </c>
      <c r="D82" s="12" t="n">
        <v>4979617.56419757</v>
      </c>
      <c r="E82" s="12" t="n">
        <v>5028437.34423873</v>
      </c>
      <c r="F82" s="12" t="n">
        <v>5077257.12427988</v>
      </c>
      <c r="H82" s="38" t="n">
        <f aca="false">A82</f>
        <v>0.055</v>
      </c>
      <c r="I82" s="39" t="n">
        <f aca="false">B82-$B$69</f>
        <v>-118021.995884733</v>
      </c>
      <c r="J82" s="39" t="n">
        <f aca="false">C82-$B$69</f>
        <v>-69202.2158435797</v>
      </c>
      <c r="K82" s="39" t="n">
        <f aca="false">D82-$B$69</f>
        <v>-20382.4358024281</v>
      </c>
      <c r="L82" s="39" t="n">
        <f aca="false">E82-$B$69</f>
        <v>28437.3442387255</v>
      </c>
      <c r="M82" s="39" t="n">
        <f aca="false">F82-$B$69</f>
        <v>77257.1242798781</v>
      </c>
    </row>
    <row r="83" customFormat="false" ht="15" hidden="false" customHeight="false" outlineLevel="0" collapsed="false">
      <c r="A83" s="37" t="n">
        <v>0.06</v>
      </c>
      <c r="B83" s="12" t="n">
        <v>4905071.32063817</v>
      </c>
      <c r="C83" s="12" t="n">
        <v>4954122.03384455</v>
      </c>
      <c r="D83" s="12" t="n">
        <v>5003172.74705093</v>
      </c>
      <c r="E83" s="12" t="n">
        <v>5052223.46025732</v>
      </c>
      <c r="F83" s="12" t="n">
        <v>5101274.1734637</v>
      </c>
      <c r="H83" s="38" t="n">
        <f aca="false">A83</f>
        <v>0.06</v>
      </c>
      <c r="I83" s="39" t="n">
        <f aca="false">B83-$B$69</f>
        <v>-94928.6793618295</v>
      </c>
      <c r="J83" s="39" t="n">
        <f aca="false">C83-$B$69</f>
        <v>-45877.966155448</v>
      </c>
      <c r="K83" s="39" t="n">
        <f aca="false">D83-$B$69</f>
        <v>3172.74705093261</v>
      </c>
      <c r="L83" s="39" t="n">
        <f aca="false">E83-$B$69</f>
        <v>52223.460257316</v>
      </c>
      <c r="M83" s="39" t="n">
        <f aca="false">F83-$B$69</f>
        <v>101274.173463698</v>
      </c>
    </row>
    <row r="84" customFormat="false" ht="15" hidden="false" customHeight="false" outlineLevel="0" collapsed="false">
      <c r="A84" s="37" t="n">
        <v>0.065</v>
      </c>
      <c r="B84" s="12" t="n">
        <v>4928232.1121131</v>
      </c>
      <c r="C84" s="12" t="n">
        <v>4977514.43323423</v>
      </c>
      <c r="D84" s="12" t="n">
        <v>5026796.75435536</v>
      </c>
      <c r="E84" s="12" t="n">
        <v>5076079.07547649</v>
      </c>
      <c r="F84" s="12" t="n">
        <v>5125361.39659762</v>
      </c>
      <c r="H84" s="38" t="n">
        <f aca="false">A84</f>
        <v>0.065</v>
      </c>
      <c r="I84" s="39" t="n">
        <f aca="false">B84-$B$69</f>
        <v>-71767.8878869033</v>
      </c>
      <c r="J84" s="39" t="n">
        <f aca="false">C84-$B$69</f>
        <v>-22485.5667657722</v>
      </c>
      <c r="K84" s="39" t="n">
        <f aca="false">D84-$B$69</f>
        <v>26796.7543553589</v>
      </c>
      <c r="L84" s="39" t="n">
        <f aca="false">E84-$B$69</f>
        <v>76079.07547649</v>
      </c>
      <c r="M84" s="39" t="n">
        <f aca="false">F84-$B$69</f>
        <v>125361.39659762</v>
      </c>
    </row>
    <row r="85" customFormat="false" ht="15" hidden="false" customHeight="false" outlineLevel="0" collapsed="false">
      <c r="A85" s="37" t="n">
        <v>0.07</v>
      </c>
      <c r="B85" s="12" t="n">
        <v>4951460.31186474</v>
      </c>
      <c r="C85" s="12" t="n">
        <v>5000974.91498339</v>
      </c>
      <c r="D85" s="12" t="n">
        <v>5050489.51810203</v>
      </c>
      <c r="E85" s="12" t="n">
        <v>5100004.12122068</v>
      </c>
      <c r="F85" s="12" t="n">
        <v>5149518.72433933</v>
      </c>
      <c r="H85" s="38" t="n">
        <f aca="false">A85</f>
        <v>0.07</v>
      </c>
      <c r="I85" s="39" t="n">
        <f aca="false">B85-$B$69</f>
        <v>-48539.6881352635</v>
      </c>
      <c r="J85" s="39" t="n">
        <f aca="false">C85-$B$69</f>
        <v>974.914983385243</v>
      </c>
      <c r="K85" s="39" t="n">
        <f aca="false">D85-$B$69</f>
        <v>50489.5181020331</v>
      </c>
      <c r="L85" s="39" t="n">
        <f aca="false">E85-$B$69</f>
        <v>100004.12122068</v>
      </c>
      <c r="M85" s="39" t="n">
        <f aca="false">F85-$B$69</f>
        <v>149518.724339328</v>
      </c>
    </row>
    <row r="86" customFormat="false" ht="15" hidden="false" customHeight="false" outlineLevel="0" collapsed="false">
      <c r="A86" s="37" t="n">
        <v>0.075</v>
      </c>
      <c r="B86" s="12" t="n">
        <v>4974755.85197971</v>
      </c>
      <c r="C86" s="12" t="n">
        <v>5024503.41049951</v>
      </c>
      <c r="D86" s="12" t="n">
        <v>5074250.9690193</v>
      </c>
      <c r="E86" s="12" t="n">
        <v>5123998.5275391</v>
      </c>
      <c r="F86" s="12" t="n">
        <v>5173746.0860589</v>
      </c>
      <c r="H86" s="38" t="n">
        <f aca="false">A86</f>
        <v>0.075</v>
      </c>
      <c r="I86" s="39" t="n">
        <f aca="false">B86-$B$69</f>
        <v>-25244.1480202889</v>
      </c>
      <c r="J86" s="39" t="n">
        <f aca="false">C86-$B$69</f>
        <v>24503.4104995076</v>
      </c>
      <c r="K86" s="39" t="n">
        <f aca="false">D86-$B$69</f>
        <v>74250.969019304</v>
      </c>
      <c r="L86" s="39" t="n">
        <f aca="false">E86-$B$69</f>
        <v>123998.527539103</v>
      </c>
      <c r="M86" s="39" t="n">
        <f aca="false">F86-$B$69</f>
        <v>173746.086058899</v>
      </c>
    </row>
    <row r="87" customFormat="false" ht="15" hidden="false" customHeight="false" outlineLevel="0" collapsed="false">
      <c r="A87" s="37" t="n">
        <v>0.08</v>
      </c>
      <c r="B87" s="12" t="n">
        <v>4998118.66331218</v>
      </c>
      <c r="C87" s="12" t="n">
        <v>5048099.8499453</v>
      </c>
      <c r="D87" s="12" t="n">
        <v>5098081.03657842</v>
      </c>
      <c r="E87" s="12" t="n">
        <v>5148062.22321155</v>
      </c>
      <c r="F87" s="12" t="n">
        <v>5198043.40984467</v>
      </c>
      <c r="H87" s="38" t="n">
        <f aca="false">A87</f>
        <v>0.08</v>
      </c>
      <c r="I87" s="39" t="n">
        <f aca="false">B87-$B$69</f>
        <v>-1881.33668782003</v>
      </c>
      <c r="J87" s="39" t="n">
        <f aca="false">C87-$B$69</f>
        <v>48099.8499453012</v>
      </c>
      <c r="K87" s="39" t="n">
        <f aca="false">D87-$B$69</f>
        <v>98081.0365784243</v>
      </c>
      <c r="L87" s="39" t="n">
        <f aca="false">E87-$B$69</f>
        <v>148062.223211546</v>
      </c>
      <c r="M87" s="39" t="n">
        <f aca="false">F87-$B$69</f>
        <v>198043.409844668</v>
      </c>
    </row>
    <row r="88" customFormat="false" ht="15" hidden="false" customHeight="false" outlineLevel="0" collapsed="false">
      <c r="A88" s="37" t="n">
        <v>0.085</v>
      </c>
      <c r="B88" s="12" t="n">
        <v>5021548.67548954</v>
      </c>
      <c r="C88" s="12" t="n">
        <v>5071764.16224444</v>
      </c>
      <c r="D88" s="12" t="n">
        <v>5121979.64899933</v>
      </c>
      <c r="E88" s="12" t="n">
        <v>5172195.13575423</v>
      </c>
      <c r="F88" s="12" t="n">
        <v>5222410.62250912</v>
      </c>
      <c r="H88" s="38" t="n">
        <f aca="false">A88</f>
        <v>0.085</v>
      </c>
      <c r="I88" s="39" t="n">
        <f aca="false">B88-$B$69</f>
        <v>21548.6754895393</v>
      </c>
      <c r="J88" s="39" t="n">
        <f aca="false">C88-$B$69</f>
        <v>71764.1622444363</v>
      </c>
      <c r="K88" s="39" t="n">
        <f aca="false">D88-$B$69</f>
        <v>121979.648999332</v>
      </c>
      <c r="L88" s="39" t="n">
        <f aca="false">E88-$B$69</f>
        <v>172195.135754226</v>
      </c>
      <c r="M88" s="39" t="n">
        <f aca="false">F88-$B$69</f>
        <v>222410.622509121</v>
      </c>
    </row>
    <row r="89" customFormat="false" ht="15" hidden="false" customHeight="false" outlineLevel="0" collapsed="false">
      <c r="A89" s="37" t="n">
        <v>0.09</v>
      </c>
      <c r="B89" s="12" t="n">
        <v>5045045.81691817</v>
      </c>
      <c r="C89" s="12" t="n">
        <v>5095496.27508735</v>
      </c>
      <c r="D89" s="12" t="n">
        <v>5145946.73325653</v>
      </c>
      <c r="E89" s="12" t="n">
        <v>5196397.19142571</v>
      </c>
      <c r="F89" s="12" t="n">
        <v>5246847.6495949</v>
      </c>
      <c r="H89" s="38" t="n">
        <f aca="false">A89</f>
        <v>0.09</v>
      </c>
      <c r="I89" s="39" t="n">
        <f aca="false">B89-$B$69</f>
        <v>45045.8169181692</v>
      </c>
      <c r="J89" s="39" t="n">
        <f aca="false">C89-$B$69</f>
        <v>95496.2750873501</v>
      </c>
      <c r="K89" s="39" t="n">
        <f aca="false">D89-$B$69</f>
        <v>145946.733256532</v>
      </c>
      <c r="L89" s="39" t="n">
        <f aca="false">E89-$B$69</f>
        <v>196397.191425714</v>
      </c>
      <c r="M89" s="39" t="n">
        <f aca="false">F89-$B$69</f>
        <v>246847.649594896</v>
      </c>
    </row>
    <row r="90" customFormat="false" ht="15" hidden="false" customHeight="false" outlineLevel="0" collapsed="false">
      <c r="A90" s="37" t="n">
        <v>0.095</v>
      </c>
      <c r="B90" s="12" t="n">
        <v>5068610.01478925</v>
      </c>
      <c r="C90" s="12" t="n">
        <v>5119296.11493715</v>
      </c>
      <c r="D90" s="12" t="n">
        <v>5169982.21508504</v>
      </c>
      <c r="E90" s="12" t="n">
        <v>5220668.31523293</v>
      </c>
      <c r="F90" s="12" t="n">
        <v>5271354.41538082</v>
      </c>
      <c r="H90" s="38" t="n">
        <f aca="false">A90</f>
        <v>0.095</v>
      </c>
      <c r="I90" s="39" t="n">
        <f aca="false">B90-$B$69</f>
        <v>68610.0147892535</v>
      </c>
      <c r="J90" s="39" t="n">
        <f aca="false">C90-$B$69</f>
        <v>119296.114937147</v>
      </c>
      <c r="K90" s="39" t="n">
        <f aca="false">D90-$B$69</f>
        <v>169982.21508504</v>
      </c>
      <c r="L90" s="39" t="n">
        <f aca="false">E90-$B$69</f>
        <v>220668.315232933</v>
      </c>
      <c r="M90" s="39" t="n">
        <f aca="false">F90-$B$69</f>
        <v>271354.415380824</v>
      </c>
    </row>
    <row r="91" customFormat="false" ht="15" hidden="false" customHeight="false" outlineLevel="0" collapsed="false">
      <c r="A91" s="37" t="n">
        <v>0.1</v>
      </c>
      <c r="B91" s="12" t="n">
        <v>5092241.1950847</v>
      </c>
      <c r="C91" s="12" t="n">
        <v>5143163.60703555</v>
      </c>
      <c r="D91" s="12" t="n">
        <v>5194086.01898639</v>
      </c>
      <c r="E91" s="12" t="n">
        <v>5245008.43093724</v>
      </c>
      <c r="F91" s="12" t="n">
        <v>5295930.84288809</v>
      </c>
      <c r="H91" s="38" t="n">
        <f aca="false">A91</f>
        <v>0.1</v>
      </c>
      <c r="I91" s="39" t="n">
        <f aca="false">B91-$B$69</f>
        <v>92241.1950846985</v>
      </c>
      <c r="J91" s="39" t="n">
        <f aca="false">C91-$B$69</f>
        <v>143163.607035545</v>
      </c>
      <c r="K91" s="39" t="n">
        <f aca="false">D91-$B$69</f>
        <v>194086.018986392</v>
      </c>
      <c r="L91" s="39" t="n">
        <f aca="false">E91-$B$69</f>
        <v>245008.430937239</v>
      </c>
      <c r="M91" s="39" t="n">
        <f aca="false">F91-$B$69</f>
        <v>295930.842888087</v>
      </c>
    </row>
    <row r="92" customFormat="false" ht="15" hidden="false" customHeight="false" outlineLevel="0" collapsed="false">
      <c r="A92" s="37" t="n">
        <v>0.105</v>
      </c>
      <c r="B92" s="12" t="n">
        <v>5115939.28258307</v>
      </c>
      <c r="C92" s="12" t="n">
        <v>5167098.6754089</v>
      </c>
      <c r="D92" s="12" t="n">
        <v>5218258.06823473</v>
      </c>
      <c r="E92" s="12" t="n">
        <v>5269417.46106056</v>
      </c>
      <c r="F92" s="12" t="n">
        <v>5320576.85388639</v>
      </c>
      <c r="H92" s="38" t="n">
        <f aca="false">A92</f>
        <v>0.105</v>
      </c>
      <c r="I92" s="39" t="n">
        <f aca="false">B92-$B$69</f>
        <v>115939.282583069</v>
      </c>
      <c r="J92" s="39" t="n">
        <f aca="false">C92-$B$69</f>
        <v>167098.675408899</v>
      </c>
      <c r="K92" s="39" t="n">
        <f aca="false">D92-$B$69</f>
        <v>218258.068234731</v>
      </c>
      <c r="L92" s="39" t="n">
        <f aca="false">E92-$B$69</f>
        <v>269417.461060561</v>
      </c>
      <c r="M92" s="39" t="n">
        <f aca="false">F92-$B$69</f>
        <v>320576.853886391</v>
      </c>
    </row>
    <row r="93" customFormat="false" ht="15" hidden="false" customHeight="false" outlineLevel="0" collapsed="false">
      <c r="A93" s="37" t="n">
        <v>0.11</v>
      </c>
      <c r="B93" s="12" t="n">
        <v>5139704.20086564</v>
      </c>
      <c r="C93" s="12" t="n">
        <v>5191101.2428743</v>
      </c>
      <c r="D93" s="12" t="n">
        <v>5242498.28488296</v>
      </c>
      <c r="E93" s="12" t="n">
        <v>5293895.32689161</v>
      </c>
      <c r="F93" s="12" t="n">
        <v>5345292.36890027</v>
      </c>
      <c r="H93" s="38" t="n">
        <f aca="false">A93</f>
        <v>0.11</v>
      </c>
      <c r="I93" s="39" t="n">
        <f aca="false">B93-$B$69</f>
        <v>139704.200865644</v>
      </c>
      <c r="J93" s="39" t="n">
        <f aca="false">C93-$B$69</f>
        <v>191101.242874301</v>
      </c>
      <c r="K93" s="39" t="n">
        <f aca="false">D93-$B$69</f>
        <v>242498.284882958</v>
      </c>
      <c r="L93" s="39" t="n">
        <f aca="false">E93-$B$69</f>
        <v>293895.326891613</v>
      </c>
      <c r="M93" s="39" t="n">
        <f aca="false">F93-$B$69</f>
        <v>345292.36890027</v>
      </c>
    </row>
    <row r="94" customFormat="false" ht="15" hidden="false" customHeight="false" outlineLevel="0" collapsed="false">
      <c r="A94" s="37" t="n">
        <v>0.115</v>
      </c>
      <c r="B94" s="12" t="n">
        <v>5163535.87232251</v>
      </c>
      <c r="C94" s="12" t="n">
        <v>5215171.23104574</v>
      </c>
      <c r="D94" s="12" t="n">
        <v>5266806.58976896</v>
      </c>
      <c r="E94" s="12" t="n">
        <v>5318441.94849218</v>
      </c>
      <c r="F94" s="12" t="n">
        <v>5370077.30721541</v>
      </c>
      <c r="H94" s="38" t="n">
        <f aca="false">A94</f>
        <v>0.115</v>
      </c>
      <c r="I94" s="39" t="n">
        <f aca="false">B94-$B$69</f>
        <v>163535.872322509</v>
      </c>
      <c r="J94" s="39" t="n">
        <f aca="false">C94-$B$69</f>
        <v>215171.231045735</v>
      </c>
      <c r="K94" s="39" t="n">
        <f aca="false">D94-$B$69</f>
        <v>266806.589768959</v>
      </c>
      <c r="L94" s="39" t="n">
        <f aca="false">E94-$B$69</f>
        <v>318441.948492182</v>
      </c>
      <c r="M94" s="39" t="n">
        <f aca="false">F94-$B$69</f>
        <v>370077.307215408</v>
      </c>
    </row>
    <row r="95" customFormat="false" ht="15" hidden="false" customHeight="false" outlineLevel="0" collapsed="false">
      <c r="A95" s="37" t="n">
        <v>0.12</v>
      </c>
      <c r="B95" s="12" t="n">
        <v>5187434.21815874</v>
      </c>
      <c r="C95" s="12" t="n">
        <v>5239308.56034032</v>
      </c>
      <c r="D95" s="12" t="n">
        <v>5291182.90252191</v>
      </c>
      <c r="E95" s="12" t="n">
        <v>5343057.2447035</v>
      </c>
      <c r="F95" s="12" t="n">
        <v>5394931.58688508</v>
      </c>
      <c r="H95" s="38" t="n">
        <f aca="false">A95</f>
        <v>0.12</v>
      </c>
      <c r="I95" s="39" t="n">
        <f aca="false">B95-$B$69</f>
        <v>187434.218158735</v>
      </c>
      <c r="J95" s="39" t="n">
        <f aca="false">C95-$B$69</f>
        <v>239308.560340323</v>
      </c>
      <c r="K95" s="39" t="n">
        <f aca="false">D95-$B$69</f>
        <v>291182.902521909</v>
      </c>
      <c r="L95" s="39" t="n">
        <f aca="false">E95-$B$69</f>
        <v>343057.244703495</v>
      </c>
      <c r="M95" s="39" t="n">
        <f aca="false">F95-$B$69</f>
        <v>394931.586885084</v>
      </c>
    </row>
    <row r="97" customFormat="false" ht="15" hidden="false" customHeight="false" outlineLevel="0" collapsed="false">
      <c r="A97" s="3" t="s">
        <v>179</v>
      </c>
    </row>
    <row r="98" customFormat="false" ht="27.75" hidden="false" customHeight="true" outlineLevel="0" collapsed="false">
      <c r="A98" s="5" t="s">
        <v>180</v>
      </c>
      <c r="B98" s="12" t="n">
        <f aca="false">ROUND(INDEX(B81:F95,MATCH(B9,A81:A95,0),MATCH(B10,B80:F80,0))-B70,8)</f>
        <v>0</v>
      </c>
    </row>
    <row r="99" customFormat="false" ht="55.5" hidden="false" customHeight="true" outlineLevel="0" collapsed="false">
      <c r="A99" s="27" t="s">
        <v>181</v>
      </c>
      <c r="B99" s="27"/>
      <c r="C99" s="27"/>
      <c r="D99" s="27"/>
      <c r="E99" s="27"/>
      <c r="F99" s="27"/>
      <c r="G99" s="27"/>
      <c r="H99" s="27"/>
      <c r="I99" s="27"/>
      <c r="J99" s="27"/>
      <c r="K99" s="27"/>
      <c r="L99" s="27"/>
      <c r="M99" s="27"/>
      <c r="N99" s="27"/>
      <c r="O99" s="27"/>
      <c r="P99" s="27"/>
      <c r="Q99" s="27"/>
    </row>
  </sheetData>
  <mergeCells count="37">
    <mergeCell ref="A2:Q2"/>
    <mergeCell ref="A3:Q3"/>
    <mergeCell ref="D6:K6"/>
    <mergeCell ref="D7:K7"/>
    <mergeCell ref="D8:K8"/>
    <mergeCell ref="D9:K9"/>
    <mergeCell ref="D10:K10"/>
    <mergeCell ref="D11:K11"/>
    <mergeCell ref="D12:K12"/>
    <mergeCell ref="D13:K13"/>
    <mergeCell ref="D14:K14"/>
    <mergeCell ref="D15:K15"/>
    <mergeCell ref="D17:K17"/>
    <mergeCell ref="C20:K20"/>
    <mergeCell ref="C21:K21"/>
    <mergeCell ref="C22:K22"/>
    <mergeCell ref="C23:K23"/>
    <mergeCell ref="C24:K24"/>
    <mergeCell ref="A27:Q27"/>
    <mergeCell ref="A28:Q28"/>
    <mergeCell ref="A29:Q29"/>
    <mergeCell ref="A30:Q30"/>
    <mergeCell ref="A31:Q31"/>
    <mergeCell ref="B33:E33"/>
    <mergeCell ref="F33:Q33"/>
    <mergeCell ref="A60:Q60"/>
    <mergeCell ref="C64:K65"/>
    <mergeCell ref="C68:K68"/>
    <mergeCell ref="C69:K69"/>
    <mergeCell ref="C70:K70"/>
    <mergeCell ref="C71:K71"/>
    <mergeCell ref="C72:K72"/>
    <mergeCell ref="C73:K73"/>
    <mergeCell ref="C74:K74"/>
    <mergeCell ref="C75:K75"/>
    <mergeCell ref="A78:Q78"/>
    <mergeCell ref="A99:Q99"/>
  </mergeCells>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2" manualBreakCount="2">
    <brk id="31" man="true" max="16383" min="0"/>
    <brk id="76"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8"/>
    <col collapsed="false" customWidth="true" hidden="false" outlineLevel="0" max="4" min="4" style="0" width="20"/>
  </cols>
  <sheetData>
    <row r="1" customFormat="false" ht="18" hidden="false" customHeight="true" outlineLevel="0" collapsed="false">
      <c r="A1" s="1" t="s">
        <v>182</v>
      </c>
    </row>
    <row r="2" customFormat="false" ht="27.75" hidden="false" customHeight="true" outlineLevel="0" collapsed="false">
      <c r="A2" s="2" t="s">
        <v>183</v>
      </c>
      <c r="B2" s="2"/>
      <c r="C2" s="2"/>
      <c r="D2" s="2"/>
    </row>
    <row r="4" customFormat="false" ht="15" hidden="false" customHeight="false" outlineLevel="0" collapsed="false">
      <c r="A4" s="3" t="s">
        <v>184</v>
      </c>
    </row>
    <row r="5" customFormat="false" ht="43.5" hidden="false" customHeight="true" outlineLevel="0" collapsed="false">
      <c r="A5" s="27" t="s">
        <v>185</v>
      </c>
      <c r="B5" s="27"/>
      <c r="C5" s="27"/>
      <c r="D5" s="27"/>
    </row>
    <row r="7" customFormat="false" ht="15" hidden="false" customHeight="false" outlineLevel="0" collapsed="false">
      <c r="A7" s="3" t="s">
        <v>186</v>
      </c>
    </row>
    <row r="8" customFormat="false" ht="30" hidden="false" customHeight="true" outlineLevel="0" collapsed="false">
      <c r="A8" s="4"/>
      <c r="B8" s="4" t="s">
        <v>4</v>
      </c>
      <c r="C8" s="4" t="s">
        <v>5</v>
      </c>
      <c r="D8" s="4" t="s">
        <v>187</v>
      </c>
    </row>
    <row r="9" customFormat="false" ht="15" hidden="false" customHeight="false" outlineLevel="0" collapsed="false">
      <c r="A9" s="5" t="s">
        <v>7</v>
      </c>
      <c r="B9" s="25" t="n">
        <f aca="false">'1 Amortization'!B7</f>
        <v>5000</v>
      </c>
      <c r="C9" s="25" t="n">
        <f aca="false">'1 Amortization'!C7</f>
        <v>5000</v>
      </c>
      <c r="D9" s="12" t="n">
        <f aca="false">B9-C9</f>
        <v>0</v>
      </c>
    </row>
    <row r="10" customFormat="false" ht="15" hidden="false" customHeight="false" outlineLevel="0" collapsed="false">
      <c r="A10" s="5" t="s">
        <v>188</v>
      </c>
      <c r="B10" s="25" t="n">
        <f aca="false">'1 Amortization'!B20</f>
        <v>0</v>
      </c>
      <c r="C10" s="25" t="n">
        <f aca="false">'1 Amortization'!C20</f>
        <v>100</v>
      </c>
      <c r="D10" s="12" t="n">
        <f aca="false">B10-C10</f>
        <v>-100</v>
      </c>
    </row>
    <row r="11" customFormat="false" ht="15" hidden="false" customHeight="false" outlineLevel="0" collapsed="false">
      <c r="A11" s="5" t="s">
        <v>189</v>
      </c>
      <c r="B11" s="25" t="n">
        <f aca="false">'1 Amortization'!B21</f>
        <v>5000</v>
      </c>
      <c r="C11" s="25" t="n">
        <f aca="false">'1 Amortization'!C21</f>
        <v>5100</v>
      </c>
      <c r="D11" s="12" t="n">
        <f aca="false">B11-C11</f>
        <v>-100</v>
      </c>
    </row>
    <row r="12" customFormat="false" ht="15" hidden="false" customHeight="false" outlineLevel="0" collapsed="false">
      <c r="A12" s="5" t="s">
        <v>190</v>
      </c>
      <c r="B12" s="22" t="n">
        <f aca="false">'1 Amortization'!B8</f>
        <v>0.1</v>
      </c>
      <c r="C12" s="22" t="n">
        <f aca="false">'1 Amortization'!C8</f>
        <v>0.07</v>
      </c>
      <c r="D12" s="21" t="n">
        <f aca="false">B12-C12</f>
        <v>0.03</v>
      </c>
    </row>
    <row r="13" customFormat="false" ht="15" hidden="false" customHeight="false" outlineLevel="0" collapsed="false">
      <c r="A13" s="5" t="s">
        <v>191</v>
      </c>
      <c r="B13" s="25" t="n">
        <f aca="false">'1 Amortization'!B27</f>
        <v>230.724631687583</v>
      </c>
      <c r="C13" s="25" t="n">
        <f aca="false">'1 Amortization'!C27</f>
        <v>228.340153426041</v>
      </c>
      <c r="D13" s="12" t="n">
        <f aca="false">B13-C13</f>
        <v>2.38447826154248</v>
      </c>
    </row>
    <row r="14" customFormat="false" ht="15" hidden="false" customHeight="false" outlineLevel="0" collapsed="false">
      <c r="A14" s="5" t="s">
        <v>52</v>
      </c>
      <c r="B14" s="25" t="n">
        <f aca="false">'1 Amortization'!B67</f>
        <v>5537.39116050198</v>
      </c>
      <c r="C14" s="25" t="n">
        <f aca="false">'1 Amortization'!C67</f>
        <v>5480.163682225</v>
      </c>
      <c r="D14" s="12" t="n">
        <f aca="false">B14-C14</f>
        <v>57.2274782769764</v>
      </c>
    </row>
    <row r="15" customFormat="false" ht="15" hidden="false" customHeight="false" outlineLevel="0" collapsed="false">
      <c r="A15" s="5" t="s">
        <v>54</v>
      </c>
      <c r="B15" s="25" t="n">
        <f aca="false">'1 Amortization'!B68</f>
        <v>537.391160501979</v>
      </c>
      <c r="C15" s="25" t="n">
        <f aca="false">'1 Amortization'!C68</f>
        <v>380.163682225002</v>
      </c>
      <c r="D15" s="12" t="n">
        <f aca="false">B15-C15</f>
        <v>157.227478276977</v>
      </c>
    </row>
    <row r="16" customFormat="false" ht="15" hidden="false" customHeight="false" outlineLevel="0" collapsed="false">
      <c r="A16" s="5" t="s">
        <v>192</v>
      </c>
      <c r="B16" s="25" t="n">
        <f aca="false">'1 Amortization'!B70</f>
        <v>537.391160501979</v>
      </c>
      <c r="C16" s="25" t="n">
        <f aca="false">'1 Amortization'!C70</f>
        <v>480.163682225002</v>
      </c>
      <c r="D16" s="12" t="n">
        <f aca="false">B16-C16</f>
        <v>57.227478276977</v>
      </c>
    </row>
    <row r="17" customFormat="false" ht="15" hidden="false" customHeight="false" outlineLevel="0" collapsed="false">
      <c r="A17" s="5" t="s">
        <v>193</v>
      </c>
      <c r="B17" s="22" t="n">
        <f aca="false">'1 Amortization'!B73</f>
        <v>0.0999999999999994</v>
      </c>
      <c r="C17" s="22" t="n">
        <f aca="false">'1 Amortization'!C73</f>
        <v>0.0896357292998053</v>
      </c>
      <c r="D17" s="21" t="n">
        <f aca="false">B17-C17</f>
        <v>0.0103642707001941</v>
      </c>
    </row>
    <row r="18" customFormat="false" ht="15" hidden="false" customHeight="false" outlineLevel="0" collapsed="false">
      <c r="A18" s="5" t="s">
        <v>194</v>
      </c>
      <c r="B18" s="22" t="n">
        <f aca="false">'1 Amortization'!B74</f>
        <v>0.104713067441297</v>
      </c>
      <c r="C18" s="22" t="n">
        <f aca="false">'1 Amortization'!C74</f>
        <v>0.093411487464014</v>
      </c>
      <c r="D18" s="21" t="n">
        <f aca="false">B18-C18</f>
        <v>0.0113015799772829</v>
      </c>
    </row>
    <row r="20" customFormat="false" ht="15" hidden="false" customHeight="false" outlineLevel="0" collapsed="false">
      <c r="A20" s="3" t="s">
        <v>195</v>
      </c>
    </row>
    <row r="21" customFormat="false" ht="43.5" hidden="false" customHeight="true" outlineLevel="0" collapsed="false">
      <c r="A21" s="27" t="s">
        <v>196</v>
      </c>
      <c r="B21" s="27"/>
      <c r="C21" s="27"/>
      <c r="D21" s="27"/>
    </row>
    <row r="22" customFormat="false" ht="43.5" hidden="false" customHeight="true" outlineLevel="0" collapsed="false">
      <c r="A22" s="27" t="s">
        <v>197</v>
      </c>
      <c r="B22" s="27"/>
      <c r="C22" s="27"/>
      <c r="D22" s="27"/>
    </row>
    <row r="23" customFormat="false" ht="43.5" hidden="false" customHeight="true" outlineLevel="0" collapsed="false">
      <c r="A23" s="27" t="s">
        <v>198</v>
      </c>
      <c r="B23" s="27"/>
      <c r="C23" s="27"/>
      <c r="D23" s="27"/>
    </row>
    <row r="25" customFormat="false" ht="15" hidden="false" customHeight="false" outlineLevel="0" collapsed="false">
      <c r="A25" s="3" t="s">
        <v>199</v>
      </c>
    </row>
    <row r="26" customFormat="false" ht="27.75" hidden="false" customHeight="true" outlineLevel="0" collapsed="false">
      <c r="A26" s="4"/>
      <c r="B26" s="4" t="s">
        <v>75</v>
      </c>
    </row>
    <row r="27" customFormat="false" ht="27.75" hidden="false" customHeight="true" outlineLevel="0" collapsed="false">
      <c r="A27" s="5" t="s">
        <v>200</v>
      </c>
      <c r="B27" s="25" t="n">
        <f aca="false">'2 Payoff Analysis'!H19</f>
        <v>140.18762961</v>
      </c>
    </row>
    <row r="28" customFormat="false" ht="27.75" hidden="false" customHeight="true" outlineLevel="0" collapsed="false">
      <c r="A28" s="5" t="s">
        <v>201</v>
      </c>
      <c r="B28" s="25" t="n">
        <f aca="false">'3 Bank View'!B71</f>
        <v>50489.5181020331</v>
      </c>
    </row>
    <row r="29" customFormat="false" ht="27.75" hidden="false" customHeight="true" outlineLevel="0" collapsed="false">
      <c r="A29" s="5" t="s">
        <v>202</v>
      </c>
      <c r="B29" s="22" t="n">
        <f aca="false">'3 Bank View'!B72</f>
        <v>0.0100979036204066</v>
      </c>
    </row>
    <row r="30" customFormat="false" ht="43.5" hidden="false" customHeight="true" outlineLevel="0" collapsed="false">
      <c r="A30" s="27" t="s">
        <v>203</v>
      </c>
      <c r="B30" s="27"/>
      <c r="C30" s="27"/>
      <c r="D30" s="27"/>
    </row>
    <row r="31" customFormat="false" ht="43.5" hidden="false" customHeight="true" outlineLevel="0" collapsed="false">
      <c r="A31" s="27" t="s">
        <v>204</v>
      </c>
      <c r="B31" s="27"/>
      <c r="C31" s="27"/>
      <c r="D31" s="27"/>
    </row>
  </sheetData>
  <mergeCells count="7">
    <mergeCell ref="A2:D2"/>
    <mergeCell ref="A5:D5"/>
    <mergeCell ref="A21:D21"/>
    <mergeCell ref="A22:D22"/>
    <mergeCell ref="A23:D23"/>
    <mergeCell ref="A30:D30"/>
    <mergeCell ref="A31:D31"/>
  </mergeCells>
  <printOptions headings="false" gridLines="false" gridLinesSet="true" horizontalCentered="false" verticalCentered="false"/>
  <pageMargins left="0.4" right="0.4"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2026-09-11T19:36:41Z</dcterms:created>
  <dc:creator>Raj Pawar</dc:creator>
  <dc:description/>
  <dc:language>en-US</dc:language>
  <cp:lastModifiedBy/>
  <dcterms:modified xsi:type="dcterms:W3CDTF">2026-09-11T19:36:45Z</dcterms:modified>
  <cp:revision>1</cp:revision>
  <dc:subject/>
  <dc:title>Miniproject 1: The Two-Loan Comparison</dc:title>
</cp:coreProperties>
</file>

<file path=docProps/custom.xml><?xml version="1.0" encoding="utf-8"?>
<Properties xmlns="http://schemas.openxmlformats.org/officeDocument/2006/custom-properties" xmlns:vt="http://schemas.openxmlformats.org/officeDocument/2006/docPropsVTypes"/>
</file>